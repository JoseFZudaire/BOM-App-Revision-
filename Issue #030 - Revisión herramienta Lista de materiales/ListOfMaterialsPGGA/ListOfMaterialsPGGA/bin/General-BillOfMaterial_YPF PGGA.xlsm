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americas.abb.com\ar\PS\Automation-Control\Oficina Lec\E3 Series\TOOLS\ListOfMaterialsPGGA\"/>
    </mc:Choice>
  </mc:AlternateContent>
  <bookViews>
    <workbookView xWindow="0" yWindow="0" windowWidth="28800" windowHeight="14235" firstSheet="1" activeTab="1"/>
  </bookViews>
  <sheets>
    <sheet name="CaratulaABB" sheetId="26" r:id="rId1"/>
    <sheet name="Total" sheetId="22" r:id="rId2"/>
    <sheet name="Q150003-10101" sheetId="27" r:id="rId3"/>
    <sheet name="Q150003-10201" sheetId="28" r:id="rId4"/>
    <sheet name="Q150003-10301" sheetId="29" r:id="rId5"/>
    <sheet name="Q150003-10401" sheetId="30" r:id="rId6"/>
    <sheet name="Q150003-10501" sheetId="31" r:id="rId7"/>
    <sheet name="Q150003-10601" sheetId="32" r:id="rId8"/>
    <sheet name="Q150003-10901" sheetId="33" r:id="rId9"/>
    <sheet name="Q150003-11001" sheetId="34" r:id="rId10"/>
    <sheet name="Q150003-11101" sheetId="35" r:id="rId11"/>
    <sheet name="Q150003-11201" sheetId="36" r:id="rId12"/>
    <sheet name="Q150003-11301" sheetId="37" r:id="rId13"/>
  </sheets>
  <definedNames>
    <definedName name="_xlnm._FilterDatabase" localSheetId="1" hidden="1">Total!$A$3:$L$3</definedName>
    <definedName name="BoMListComponentName" localSheetId="2">'Q150003-10101'!$K:$K</definedName>
    <definedName name="BoMListComponentName" localSheetId="3">'Q150003-10201'!$K:$K</definedName>
    <definedName name="BoMListComponentName" localSheetId="4">'Q150003-10301'!$K:$K</definedName>
    <definedName name="BoMListComponentName" localSheetId="5">'Q150003-10401'!$K:$K</definedName>
    <definedName name="BoMListComponentName" localSheetId="6">'Q150003-10501'!$K:$K</definedName>
    <definedName name="BoMListComponentName" localSheetId="7">'Q150003-10601'!$K:$K</definedName>
    <definedName name="BoMListComponentName" localSheetId="8">'Q150003-10901'!$K:$K</definedName>
    <definedName name="BoMListComponentName" localSheetId="9">'Q150003-11001'!$K:$K</definedName>
    <definedName name="BoMListComponentName" localSheetId="10">'Q150003-11101'!$K:$K</definedName>
    <definedName name="BoMListComponentName" localSheetId="11">'Q150003-11201'!$K:$K</definedName>
    <definedName name="BoMListComponentName" localSheetId="12">'Q150003-11301'!$K:$K</definedName>
    <definedName name="BoMListComponentName">Total!$M:$M</definedName>
    <definedName name="BoMListDescription" localSheetId="2">'Q150003-10101'!$B:$B</definedName>
    <definedName name="BoMListDescription" localSheetId="3">'Q150003-10201'!$B:$B</definedName>
    <definedName name="BoMListDescription" localSheetId="4">'Q150003-10301'!$B:$B</definedName>
    <definedName name="BoMListDescription" localSheetId="5">'Q150003-10401'!$B:$B</definedName>
    <definedName name="BoMListDescription" localSheetId="6">'Q150003-10501'!$B:$B</definedName>
    <definedName name="BoMListDescription" localSheetId="7">'Q150003-10601'!$B:$B</definedName>
    <definedName name="BoMListDescription" localSheetId="8">'Q150003-10901'!$B:$B</definedName>
    <definedName name="BoMListDescription" localSheetId="9">'Q150003-11001'!$B:$B</definedName>
    <definedName name="BoMListDescription" localSheetId="10">'Q150003-11101'!$B:$B</definedName>
    <definedName name="BoMListDescription" localSheetId="11">'Q150003-11201'!$B:$B</definedName>
    <definedName name="BoMListDescription" localSheetId="12">'Q150003-11301'!$B:$B</definedName>
    <definedName name="BoMListDescription">Total!$B:$B</definedName>
    <definedName name="BoMListDevice" localSheetId="2">'Q150003-10101'!$J:$J</definedName>
    <definedName name="BoMListDevice" localSheetId="3">'Q150003-10201'!$J:$J</definedName>
    <definedName name="BoMListDevice" localSheetId="4">'Q150003-10301'!$J:$J</definedName>
    <definedName name="BoMListDevice" localSheetId="5">'Q150003-10401'!$J:$J</definedName>
    <definedName name="BoMListDevice" localSheetId="6">'Q150003-10501'!$J:$J</definedName>
    <definedName name="BoMListDevice" localSheetId="7">'Q150003-10601'!$J:$J</definedName>
    <definedName name="BoMListDevice" localSheetId="8">'Q150003-10901'!$J:$J</definedName>
    <definedName name="BoMListDevice" localSheetId="9">'Q150003-11001'!$J:$J</definedName>
    <definedName name="BoMListDevice" localSheetId="10">'Q150003-11101'!$J:$J</definedName>
    <definedName name="BoMListDevice" localSheetId="11">'Q150003-11201'!$J:$J</definedName>
    <definedName name="BoMListDevice" localSheetId="12">'Q150003-11301'!$J:$J</definedName>
    <definedName name="BoMListDevice">Total!$L:$L</definedName>
    <definedName name="BoMListManufacturer" localSheetId="2">'Q150003-10101'!$G:$G</definedName>
    <definedName name="BoMListManufacturer" localSheetId="3">'Q150003-10201'!$G:$G</definedName>
    <definedName name="BoMListManufacturer" localSheetId="4">'Q150003-10301'!$G:$G</definedName>
    <definedName name="BoMListManufacturer" localSheetId="5">'Q150003-10401'!$G:$G</definedName>
    <definedName name="BoMListManufacturer" localSheetId="6">'Q150003-10501'!$G:$G</definedName>
    <definedName name="BoMListManufacturer" localSheetId="7">'Q150003-10601'!$G:$G</definedName>
    <definedName name="BoMListManufacturer" localSheetId="8">'Q150003-10901'!$G:$G</definedName>
    <definedName name="BoMListManufacturer" localSheetId="9">'Q150003-11001'!$G:$G</definedName>
    <definedName name="BoMListManufacturer" localSheetId="10">'Q150003-11101'!$G:$G</definedName>
    <definedName name="BoMListManufacturer" localSheetId="11">'Q150003-11201'!$G:$G</definedName>
    <definedName name="BoMListManufacturer" localSheetId="12">'Q150003-11301'!$G:$G</definedName>
    <definedName name="BoMListManufacturer">Total!$F:$F</definedName>
    <definedName name="BoMListManufacturerNumber" localSheetId="2">'Q150003-10101'!$H:$H</definedName>
    <definedName name="BoMListManufacturerNumber" localSheetId="3">'Q150003-10201'!$H:$H</definedName>
    <definedName name="BoMListManufacturerNumber" localSheetId="4">'Q150003-10301'!$H:$H</definedName>
    <definedName name="BoMListManufacturerNumber" localSheetId="5">'Q150003-10401'!$H:$H</definedName>
    <definedName name="BoMListManufacturerNumber" localSheetId="6">'Q150003-10501'!$H:$H</definedName>
    <definedName name="BoMListManufacturerNumber" localSheetId="7">'Q150003-10601'!$H:$H</definedName>
    <definedName name="BoMListManufacturerNumber" localSheetId="8">'Q150003-10901'!$H:$H</definedName>
    <definedName name="BoMListManufacturerNumber" localSheetId="9">'Q150003-11001'!$H:$H</definedName>
    <definedName name="BoMListManufacturerNumber" localSheetId="10">'Q150003-11101'!$H:$H</definedName>
    <definedName name="BoMListManufacturerNumber" localSheetId="11">'Q150003-11201'!$H:$H</definedName>
    <definedName name="BoMListManufacturerNumber" localSheetId="12">'Q150003-11301'!$H:$H</definedName>
    <definedName name="BoMListManufacturerNumber">Total!$G:$G</definedName>
    <definedName name="BoMListQuantity" localSheetId="2">'Q150003-10101'!$I:$I</definedName>
    <definedName name="BoMListQuantity" localSheetId="3">'Q150003-10201'!$I:$I</definedName>
    <definedName name="BoMListQuantity" localSheetId="4">'Q150003-10301'!$I:$I</definedName>
    <definedName name="BoMListQuantity" localSheetId="5">'Q150003-10401'!$I:$I</definedName>
    <definedName name="BoMListQuantity" localSheetId="6">'Q150003-10501'!$I:$I</definedName>
    <definedName name="BoMListQuantity" localSheetId="7">'Q150003-10601'!$I:$I</definedName>
    <definedName name="BoMListQuantity" localSheetId="8">'Q150003-10901'!$I:$I</definedName>
    <definedName name="BoMListQuantity" localSheetId="9">'Q150003-11001'!$I:$I</definedName>
    <definedName name="BoMListQuantity" localSheetId="10">'Q150003-11101'!$I:$I</definedName>
    <definedName name="BoMListQuantity" localSheetId="11">'Q150003-11201'!$I:$I</definedName>
    <definedName name="BoMListQuantity" localSheetId="12">'Q150003-11301'!$I:$I</definedName>
    <definedName name="BoMListQuantity">Total!$H:$H</definedName>
    <definedName name="BoMListRemark" localSheetId="2">'Q150003-10101'!$E:$E</definedName>
    <definedName name="BoMListRemark" localSheetId="3">'Q150003-10201'!$E:$E</definedName>
    <definedName name="BoMListRemark" localSheetId="4">'Q150003-10301'!$E:$E</definedName>
    <definedName name="BoMListRemark" localSheetId="5">'Q150003-10401'!$E:$E</definedName>
    <definedName name="BoMListRemark" localSheetId="6">'Q150003-10501'!$E:$E</definedName>
    <definedName name="BoMListRemark" localSheetId="7">'Q150003-10601'!$E:$E</definedName>
    <definedName name="BoMListRemark" localSheetId="8">'Q150003-10901'!$E:$E</definedName>
    <definedName name="BoMListRemark" localSheetId="9">'Q150003-11001'!$E:$E</definedName>
    <definedName name="BoMListRemark" localSheetId="10">'Q150003-11101'!$E:$E</definedName>
    <definedName name="BoMListRemark" localSheetId="11">'Q150003-11201'!$E:$E</definedName>
    <definedName name="BoMListRemark" localSheetId="12">'Q150003-11301'!$E:$E</definedName>
    <definedName name="BoMListRemark">Total!$E:$E</definedName>
    <definedName name="BoMListSAPNumber" localSheetId="2">'Q150003-10101'!$F:$F</definedName>
    <definedName name="BoMListSAPNumber" localSheetId="3">'Q150003-10201'!$F:$F</definedName>
    <definedName name="BoMListSAPNumber" localSheetId="4">'Q150003-10301'!$F:$F</definedName>
    <definedName name="BoMListSAPNumber" localSheetId="5">'Q150003-10401'!$F:$F</definedName>
    <definedName name="BoMListSAPNumber" localSheetId="6">'Q150003-10501'!$F:$F</definedName>
    <definedName name="BoMListSAPNumber" localSheetId="7">'Q150003-10601'!$F:$F</definedName>
    <definedName name="BoMListSAPNumber" localSheetId="8">'Q150003-10901'!$F:$F</definedName>
    <definedName name="BoMListSAPNumber" localSheetId="9">'Q150003-11001'!$F:$F</definedName>
    <definedName name="BoMListSAPNumber" localSheetId="10">'Q150003-11101'!$F:$F</definedName>
    <definedName name="BoMListSAPNumber" localSheetId="11">'Q150003-11201'!$F:$F</definedName>
    <definedName name="BoMListSAPNumber" localSheetId="12">'Q150003-11301'!$F:$F</definedName>
    <definedName name="BoMListSAPNumber">Total!#REF!</definedName>
    <definedName name="BoMListTechnicalData" localSheetId="2">'Q150003-10101'!$D:$D</definedName>
    <definedName name="BoMListTechnicalData" localSheetId="3">'Q150003-10201'!$D:$D</definedName>
    <definedName name="BoMListTechnicalData" localSheetId="4">'Q150003-10301'!$D:$D</definedName>
    <definedName name="BoMListTechnicalData" localSheetId="5">'Q150003-10401'!$D:$D</definedName>
    <definedName name="BoMListTechnicalData" localSheetId="6">'Q150003-10501'!$D:$D</definedName>
    <definedName name="BoMListTechnicalData" localSheetId="7">'Q150003-10601'!$D:$D</definedName>
    <definedName name="BoMListTechnicalData" localSheetId="8">'Q150003-10901'!$D:$D</definedName>
    <definedName name="BoMListTechnicalData" localSheetId="9">'Q150003-11001'!$D:$D</definedName>
    <definedName name="BoMListTechnicalData" localSheetId="10">'Q150003-11101'!$D:$D</definedName>
    <definedName name="BoMListTechnicalData" localSheetId="11">'Q150003-11201'!$D:$D</definedName>
    <definedName name="BoMListTechnicalData" localSheetId="12">'Q150003-11301'!$D:$D</definedName>
    <definedName name="BoMListTechnicalData">Total!$D:$D</definedName>
    <definedName name="BoMListTypeDesignation" localSheetId="2">'Q150003-10101'!$C:$C</definedName>
    <definedName name="BoMListTypeDesignation" localSheetId="3">'Q150003-10201'!$C:$C</definedName>
    <definedName name="BoMListTypeDesignation" localSheetId="4">'Q150003-10301'!$C:$C</definedName>
    <definedName name="BoMListTypeDesignation" localSheetId="5">'Q150003-10401'!$C:$C</definedName>
    <definedName name="BoMListTypeDesignation" localSheetId="6">'Q150003-10501'!$C:$C</definedName>
    <definedName name="BoMListTypeDesignation" localSheetId="7">'Q150003-10601'!$C:$C</definedName>
    <definedName name="BoMListTypeDesignation" localSheetId="8">'Q150003-10901'!$C:$C</definedName>
    <definedName name="BoMListTypeDesignation" localSheetId="9">'Q150003-11001'!$C:$C</definedName>
    <definedName name="BoMListTypeDesignation" localSheetId="10">'Q150003-11101'!$C:$C</definedName>
    <definedName name="BoMListTypeDesignation" localSheetId="11">'Q150003-11201'!$C:$C</definedName>
    <definedName name="BoMListTypeDesignation" localSheetId="12">'Q150003-11301'!$C:$C</definedName>
    <definedName name="BoMListTypeDesignation">Total!$C:$C</definedName>
    <definedName name="Company" localSheetId="2">#REF!</definedName>
    <definedName name="Company" localSheetId="3">#REF!</definedName>
    <definedName name="Company" localSheetId="4">#REF!</definedName>
    <definedName name="Company" localSheetId="5">#REF!</definedName>
    <definedName name="Company" localSheetId="6">#REF!</definedName>
    <definedName name="Company" localSheetId="7">#REF!</definedName>
    <definedName name="Company" localSheetId="8">#REF!</definedName>
    <definedName name="Company" localSheetId="9">#REF!</definedName>
    <definedName name="Company" localSheetId="10">#REF!</definedName>
    <definedName name="Company" localSheetId="11">#REF!</definedName>
    <definedName name="Company" localSheetId="12">#REF!</definedName>
    <definedName name="Company">#REF!</definedName>
    <definedName name="Customer1" localSheetId="2">#REF!</definedName>
    <definedName name="Customer1" localSheetId="3">#REF!</definedName>
    <definedName name="Customer1" localSheetId="4">#REF!</definedName>
    <definedName name="Customer1" localSheetId="5">#REF!</definedName>
    <definedName name="Customer1" localSheetId="6">#REF!</definedName>
    <definedName name="Customer1" localSheetId="7">#REF!</definedName>
    <definedName name="Customer1" localSheetId="8">#REF!</definedName>
    <definedName name="Customer1" localSheetId="9">#REF!</definedName>
    <definedName name="Customer1" localSheetId="10">#REF!</definedName>
    <definedName name="Customer1" localSheetId="11">#REF!</definedName>
    <definedName name="Customer1" localSheetId="12">#REF!</definedName>
    <definedName name="Customer1">#REF!</definedName>
    <definedName name="Customer2" localSheetId="2">#REF!</definedName>
    <definedName name="Customer2" localSheetId="3">#REF!</definedName>
    <definedName name="Customer2" localSheetId="4">#REF!</definedName>
    <definedName name="Customer2" localSheetId="5">#REF!</definedName>
    <definedName name="Customer2" localSheetId="6">#REF!</definedName>
    <definedName name="Customer2" localSheetId="7">#REF!</definedName>
    <definedName name="Customer2" localSheetId="8">#REF!</definedName>
    <definedName name="Customer2" localSheetId="9">#REF!</definedName>
    <definedName name="Customer2" localSheetId="10">#REF!</definedName>
    <definedName name="Customer2" localSheetId="11">#REF!</definedName>
    <definedName name="Customer2" localSheetId="12">#REF!</definedName>
    <definedName name="Customer2">#REF!</definedName>
    <definedName name="DocNumber" localSheetId="2">#REF!</definedName>
    <definedName name="DocNumber" localSheetId="3">#REF!</definedName>
    <definedName name="DocNumber" localSheetId="4">#REF!</definedName>
    <definedName name="DocNumber" localSheetId="5">#REF!</definedName>
    <definedName name="DocNumber" localSheetId="6">#REF!</definedName>
    <definedName name="DocNumber" localSheetId="7">#REF!</definedName>
    <definedName name="DocNumber" localSheetId="8">#REF!</definedName>
    <definedName name="DocNumber" localSheetId="9">#REF!</definedName>
    <definedName name="DocNumber" localSheetId="10">#REF!</definedName>
    <definedName name="DocNumber" localSheetId="11">#REF!</definedName>
    <definedName name="DocNumber" localSheetId="12">#REF!</definedName>
    <definedName name="DocNumber">#REF!</definedName>
    <definedName name="DocuApprBy" localSheetId="2">#REF!</definedName>
    <definedName name="DocuApprBy" localSheetId="3">#REF!</definedName>
    <definedName name="DocuApprBy" localSheetId="4">#REF!</definedName>
    <definedName name="DocuApprBy" localSheetId="5">#REF!</definedName>
    <definedName name="DocuApprBy" localSheetId="6">#REF!</definedName>
    <definedName name="DocuApprBy" localSheetId="7">#REF!</definedName>
    <definedName name="DocuApprBy" localSheetId="8">#REF!</definedName>
    <definedName name="DocuApprBy" localSheetId="9">#REF!</definedName>
    <definedName name="DocuApprBy" localSheetId="10">#REF!</definedName>
    <definedName name="DocuApprBy" localSheetId="11">#REF!</definedName>
    <definedName name="DocuApprBy" localSheetId="12">#REF!</definedName>
    <definedName name="DocuApprBy">#REF!</definedName>
    <definedName name="DocuApprDate" localSheetId="2">#REF!</definedName>
    <definedName name="DocuApprDate" localSheetId="3">#REF!</definedName>
    <definedName name="DocuApprDate" localSheetId="4">#REF!</definedName>
    <definedName name="DocuApprDate" localSheetId="5">#REF!</definedName>
    <definedName name="DocuApprDate" localSheetId="6">#REF!</definedName>
    <definedName name="DocuApprDate" localSheetId="7">#REF!</definedName>
    <definedName name="DocuApprDate" localSheetId="8">#REF!</definedName>
    <definedName name="DocuApprDate" localSheetId="9">#REF!</definedName>
    <definedName name="DocuApprDate" localSheetId="10">#REF!</definedName>
    <definedName name="DocuApprDate" localSheetId="11">#REF!</definedName>
    <definedName name="DocuApprDate" localSheetId="12">#REF!</definedName>
    <definedName name="DocuApprDate">#REF!</definedName>
    <definedName name="DocuBasedOn" localSheetId="2">#REF!</definedName>
    <definedName name="DocuBasedOn" localSheetId="3">#REF!</definedName>
    <definedName name="DocuBasedOn" localSheetId="4">#REF!</definedName>
    <definedName name="DocuBasedOn" localSheetId="5">#REF!</definedName>
    <definedName name="DocuBasedOn" localSheetId="6">#REF!</definedName>
    <definedName name="DocuBasedOn" localSheetId="7">#REF!</definedName>
    <definedName name="DocuBasedOn" localSheetId="8">#REF!</definedName>
    <definedName name="DocuBasedOn" localSheetId="9">#REF!</definedName>
    <definedName name="DocuBasedOn" localSheetId="10">#REF!</definedName>
    <definedName name="DocuBasedOn" localSheetId="11">#REF!</definedName>
    <definedName name="DocuBasedOn" localSheetId="12">#REF!</definedName>
    <definedName name="DocuBasedOn">#REF!</definedName>
    <definedName name="DocuCreateDate" localSheetId="2">#REF!</definedName>
    <definedName name="DocuCreateDate" localSheetId="3">#REF!</definedName>
    <definedName name="DocuCreateDate" localSheetId="4">#REF!</definedName>
    <definedName name="DocuCreateDate" localSheetId="5">#REF!</definedName>
    <definedName name="DocuCreateDate" localSheetId="6">#REF!</definedName>
    <definedName name="DocuCreateDate" localSheetId="7">#REF!</definedName>
    <definedName name="DocuCreateDate" localSheetId="8">#REF!</definedName>
    <definedName name="DocuCreateDate" localSheetId="9">#REF!</definedName>
    <definedName name="DocuCreateDate" localSheetId="10">#REF!</definedName>
    <definedName name="DocuCreateDate" localSheetId="11">#REF!</definedName>
    <definedName name="DocuCreateDate" localSheetId="12">#REF!</definedName>
    <definedName name="DocuCreateDate">#REF!</definedName>
    <definedName name="DocuCreatedBy" localSheetId="2">#REF!</definedName>
    <definedName name="DocuCreatedBy" localSheetId="3">#REF!</definedName>
    <definedName name="DocuCreatedBy" localSheetId="4">#REF!</definedName>
    <definedName name="DocuCreatedBy" localSheetId="5">#REF!</definedName>
    <definedName name="DocuCreatedBy" localSheetId="6">#REF!</definedName>
    <definedName name="DocuCreatedBy" localSheetId="7">#REF!</definedName>
    <definedName name="DocuCreatedBy" localSheetId="8">#REF!</definedName>
    <definedName name="DocuCreatedBy" localSheetId="9">#REF!</definedName>
    <definedName name="DocuCreatedBy" localSheetId="10">#REF!</definedName>
    <definedName name="DocuCreatedBy" localSheetId="11">#REF!</definedName>
    <definedName name="DocuCreatedBy" localSheetId="12">#REF!</definedName>
    <definedName name="DocuCreatedBy">#REF!</definedName>
    <definedName name="DocumentKind" localSheetId="2">#REF!</definedName>
    <definedName name="DocumentKind" localSheetId="3">#REF!</definedName>
    <definedName name="DocumentKind" localSheetId="4">#REF!</definedName>
    <definedName name="DocumentKind" localSheetId="5">#REF!</definedName>
    <definedName name="DocumentKind" localSheetId="6">#REF!</definedName>
    <definedName name="DocumentKind" localSheetId="7">#REF!</definedName>
    <definedName name="DocumentKind" localSheetId="8">#REF!</definedName>
    <definedName name="DocumentKind" localSheetId="9">#REF!</definedName>
    <definedName name="DocumentKind" localSheetId="10">#REF!</definedName>
    <definedName name="DocumentKind" localSheetId="11">#REF!</definedName>
    <definedName name="DocumentKind" localSheetId="12">#REF!</definedName>
    <definedName name="DocumentKind">#REF!</definedName>
    <definedName name="DocumentKindCode" localSheetId="2">#REF!</definedName>
    <definedName name="DocumentKindCode" localSheetId="3">#REF!</definedName>
    <definedName name="DocumentKindCode" localSheetId="4">#REF!</definedName>
    <definedName name="DocumentKindCode" localSheetId="5">#REF!</definedName>
    <definedName name="DocumentKindCode" localSheetId="6">#REF!</definedName>
    <definedName name="DocumentKindCode" localSheetId="7">#REF!</definedName>
    <definedName name="DocumentKindCode" localSheetId="8">#REF!</definedName>
    <definedName name="DocumentKindCode" localSheetId="9">#REF!</definedName>
    <definedName name="DocumentKindCode" localSheetId="10">#REF!</definedName>
    <definedName name="DocumentKindCode" localSheetId="11">#REF!</definedName>
    <definedName name="DocumentKindCode" localSheetId="12">#REF!</definedName>
    <definedName name="DocumentKindCode">#REF!</definedName>
    <definedName name="DocumentModBy1" localSheetId="2">#REF!</definedName>
    <definedName name="DocumentModBy1" localSheetId="3">#REF!</definedName>
    <definedName name="DocumentModBy1" localSheetId="4">#REF!</definedName>
    <definedName name="DocumentModBy1" localSheetId="5">#REF!</definedName>
    <definedName name="DocumentModBy1" localSheetId="6">#REF!</definedName>
    <definedName name="DocumentModBy1" localSheetId="7">#REF!</definedName>
    <definedName name="DocumentModBy1" localSheetId="8">#REF!</definedName>
    <definedName name="DocumentModBy1" localSheetId="9">#REF!</definedName>
    <definedName name="DocumentModBy1" localSheetId="10">#REF!</definedName>
    <definedName name="DocumentModBy1" localSheetId="11">#REF!</definedName>
    <definedName name="DocumentModBy1" localSheetId="12">#REF!</definedName>
    <definedName name="DocumentModBy1">#REF!</definedName>
    <definedName name="DocumentModBy2" localSheetId="2">#REF!</definedName>
    <definedName name="DocumentModBy2" localSheetId="3">#REF!</definedName>
    <definedName name="DocumentModBy2" localSheetId="4">#REF!</definedName>
    <definedName name="DocumentModBy2" localSheetId="5">#REF!</definedName>
    <definedName name="DocumentModBy2" localSheetId="6">#REF!</definedName>
    <definedName name="DocumentModBy2" localSheetId="7">#REF!</definedName>
    <definedName name="DocumentModBy2" localSheetId="8">#REF!</definedName>
    <definedName name="DocumentModBy2" localSheetId="9">#REF!</definedName>
    <definedName name="DocumentModBy2" localSheetId="10">#REF!</definedName>
    <definedName name="DocumentModBy2" localSheetId="11">#REF!</definedName>
    <definedName name="DocumentModBy2" localSheetId="12">#REF!</definedName>
    <definedName name="DocumentModBy2">#REF!</definedName>
    <definedName name="DocumentModBy3" localSheetId="2">#REF!</definedName>
    <definedName name="DocumentModBy3" localSheetId="3">#REF!</definedName>
    <definedName name="DocumentModBy3" localSheetId="4">#REF!</definedName>
    <definedName name="DocumentModBy3" localSheetId="5">#REF!</definedName>
    <definedName name="DocumentModBy3" localSheetId="6">#REF!</definedName>
    <definedName name="DocumentModBy3" localSheetId="7">#REF!</definedName>
    <definedName name="DocumentModBy3" localSheetId="8">#REF!</definedName>
    <definedName name="DocumentModBy3" localSheetId="9">#REF!</definedName>
    <definedName name="DocumentModBy3" localSheetId="10">#REF!</definedName>
    <definedName name="DocumentModBy3" localSheetId="11">#REF!</definedName>
    <definedName name="DocumentModBy3" localSheetId="12">#REF!</definedName>
    <definedName name="DocumentModBy3">#REF!</definedName>
    <definedName name="DocumentModDate1" localSheetId="2">#REF!</definedName>
    <definedName name="DocumentModDate1" localSheetId="3">#REF!</definedName>
    <definedName name="DocumentModDate1" localSheetId="4">#REF!</definedName>
    <definedName name="DocumentModDate1" localSheetId="5">#REF!</definedName>
    <definedName name="DocumentModDate1" localSheetId="6">#REF!</definedName>
    <definedName name="DocumentModDate1" localSheetId="7">#REF!</definedName>
    <definedName name="DocumentModDate1" localSheetId="8">#REF!</definedName>
    <definedName name="DocumentModDate1" localSheetId="9">#REF!</definedName>
    <definedName name="DocumentModDate1" localSheetId="10">#REF!</definedName>
    <definedName name="DocumentModDate1" localSheetId="11">#REF!</definedName>
    <definedName name="DocumentModDate1" localSheetId="12">#REF!</definedName>
    <definedName name="DocumentModDate1">#REF!</definedName>
    <definedName name="DocumentModDate2" localSheetId="2">#REF!</definedName>
    <definedName name="DocumentModDate2" localSheetId="3">#REF!</definedName>
    <definedName name="DocumentModDate2" localSheetId="4">#REF!</definedName>
    <definedName name="DocumentModDate2" localSheetId="5">#REF!</definedName>
    <definedName name="DocumentModDate2" localSheetId="6">#REF!</definedName>
    <definedName name="DocumentModDate2" localSheetId="7">#REF!</definedName>
    <definedName name="DocumentModDate2" localSheetId="8">#REF!</definedName>
    <definedName name="DocumentModDate2" localSheetId="9">#REF!</definedName>
    <definedName name="DocumentModDate2" localSheetId="10">#REF!</definedName>
    <definedName name="DocumentModDate2" localSheetId="11">#REF!</definedName>
    <definedName name="DocumentModDate2" localSheetId="12">#REF!</definedName>
    <definedName name="DocumentModDate2">#REF!</definedName>
    <definedName name="DocumentModDate3" localSheetId="2">#REF!</definedName>
    <definedName name="DocumentModDate3" localSheetId="3">#REF!</definedName>
    <definedName name="DocumentModDate3" localSheetId="4">#REF!</definedName>
    <definedName name="DocumentModDate3" localSheetId="5">#REF!</definedName>
    <definedName name="DocumentModDate3" localSheetId="6">#REF!</definedName>
    <definedName name="DocumentModDate3" localSheetId="7">#REF!</definedName>
    <definedName name="DocumentModDate3" localSheetId="8">#REF!</definedName>
    <definedName name="DocumentModDate3" localSheetId="9">#REF!</definedName>
    <definedName name="DocumentModDate3" localSheetId="10">#REF!</definedName>
    <definedName name="DocumentModDate3" localSheetId="11">#REF!</definedName>
    <definedName name="DocumentModDate3" localSheetId="12">#REF!</definedName>
    <definedName name="DocumentModDate3">#REF!</definedName>
    <definedName name="DocumentNumber" localSheetId="2">#REF!</definedName>
    <definedName name="DocumentNumber" localSheetId="3">#REF!</definedName>
    <definedName name="DocumentNumber" localSheetId="4">#REF!</definedName>
    <definedName name="DocumentNumber" localSheetId="5">#REF!</definedName>
    <definedName name="DocumentNumber" localSheetId="6">#REF!</definedName>
    <definedName name="DocumentNumber" localSheetId="7">#REF!</definedName>
    <definedName name="DocumentNumber" localSheetId="8">#REF!</definedName>
    <definedName name="DocumentNumber" localSheetId="9">#REF!</definedName>
    <definedName name="DocumentNumber" localSheetId="10">#REF!</definedName>
    <definedName name="DocumentNumber" localSheetId="11">#REF!</definedName>
    <definedName name="DocumentNumber" localSheetId="12">#REF!</definedName>
    <definedName name="DocumentNumber">#REF!</definedName>
    <definedName name="DocumentRev1" localSheetId="2">#REF!</definedName>
    <definedName name="DocumentRev1" localSheetId="3">#REF!</definedName>
    <definedName name="DocumentRev1" localSheetId="4">#REF!</definedName>
    <definedName name="DocumentRev1" localSheetId="5">#REF!</definedName>
    <definedName name="DocumentRev1" localSheetId="6">#REF!</definedName>
    <definedName name="DocumentRev1" localSheetId="7">#REF!</definedName>
    <definedName name="DocumentRev1" localSheetId="8">#REF!</definedName>
    <definedName name="DocumentRev1" localSheetId="9">#REF!</definedName>
    <definedName name="DocumentRev1" localSheetId="10">#REF!</definedName>
    <definedName name="DocumentRev1" localSheetId="11">#REF!</definedName>
    <definedName name="DocumentRev1" localSheetId="12">#REF!</definedName>
    <definedName name="DocumentRev1">#REF!</definedName>
    <definedName name="DocumentRev2" localSheetId="2">#REF!</definedName>
    <definedName name="DocumentRev2" localSheetId="3">#REF!</definedName>
    <definedName name="DocumentRev2" localSheetId="4">#REF!</definedName>
    <definedName name="DocumentRev2" localSheetId="5">#REF!</definedName>
    <definedName name="DocumentRev2" localSheetId="6">#REF!</definedName>
    <definedName name="DocumentRev2" localSheetId="7">#REF!</definedName>
    <definedName name="DocumentRev2" localSheetId="8">#REF!</definedName>
    <definedName name="DocumentRev2" localSheetId="9">#REF!</definedName>
    <definedName name="DocumentRev2" localSheetId="10">#REF!</definedName>
    <definedName name="DocumentRev2" localSheetId="11">#REF!</definedName>
    <definedName name="DocumentRev2" localSheetId="12">#REF!</definedName>
    <definedName name="DocumentRev2">#REF!</definedName>
    <definedName name="DocumentRev3" localSheetId="2">#REF!</definedName>
    <definedName name="DocumentRev3" localSheetId="3">#REF!</definedName>
    <definedName name="DocumentRev3" localSheetId="4">#REF!</definedName>
    <definedName name="DocumentRev3" localSheetId="5">#REF!</definedName>
    <definedName name="DocumentRev3" localSheetId="6">#REF!</definedName>
    <definedName name="DocumentRev3" localSheetId="7">#REF!</definedName>
    <definedName name="DocumentRev3" localSheetId="8">#REF!</definedName>
    <definedName name="DocumentRev3" localSheetId="9">#REF!</definedName>
    <definedName name="DocumentRev3" localSheetId="10">#REF!</definedName>
    <definedName name="DocumentRev3" localSheetId="11">#REF!</definedName>
    <definedName name="DocumentRev3" localSheetId="12">#REF!</definedName>
    <definedName name="DocumentRev3">#REF!</definedName>
    <definedName name="DocumentRevNote1" localSheetId="2">#REF!</definedName>
    <definedName name="DocumentRevNote1" localSheetId="3">#REF!</definedName>
    <definedName name="DocumentRevNote1" localSheetId="4">#REF!</definedName>
    <definedName name="DocumentRevNote1" localSheetId="5">#REF!</definedName>
    <definedName name="DocumentRevNote1" localSheetId="6">#REF!</definedName>
    <definedName name="DocumentRevNote1" localSheetId="7">#REF!</definedName>
    <definedName name="DocumentRevNote1" localSheetId="8">#REF!</definedName>
    <definedName name="DocumentRevNote1" localSheetId="9">#REF!</definedName>
    <definedName name="DocumentRevNote1" localSheetId="10">#REF!</definedName>
    <definedName name="DocumentRevNote1" localSheetId="11">#REF!</definedName>
    <definedName name="DocumentRevNote1" localSheetId="12">#REF!</definedName>
    <definedName name="DocumentRevNote1">#REF!</definedName>
    <definedName name="DocumentRevNote2" localSheetId="2">#REF!</definedName>
    <definedName name="DocumentRevNote2" localSheetId="3">#REF!</definedName>
    <definedName name="DocumentRevNote2" localSheetId="4">#REF!</definedName>
    <definedName name="DocumentRevNote2" localSheetId="5">#REF!</definedName>
    <definedName name="DocumentRevNote2" localSheetId="6">#REF!</definedName>
    <definedName name="DocumentRevNote2" localSheetId="7">#REF!</definedName>
    <definedName name="DocumentRevNote2" localSheetId="8">#REF!</definedName>
    <definedName name="DocumentRevNote2" localSheetId="9">#REF!</definedName>
    <definedName name="DocumentRevNote2" localSheetId="10">#REF!</definedName>
    <definedName name="DocumentRevNote2" localSheetId="11">#REF!</definedName>
    <definedName name="DocumentRevNote2" localSheetId="12">#REF!</definedName>
    <definedName name="DocumentRevNote2">#REF!</definedName>
    <definedName name="DocumentRevNote3" localSheetId="2">#REF!</definedName>
    <definedName name="DocumentRevNote3" localSheetId="3">#REF!</definedName>
    <definedName name="DocumentRevNote3" localSheetId="4">#REF!</definedName>
    <definedName name="DocumentRevNote3" localSheetId="5">#REF!</definedName>
    <definedName name="DocumentRevNote3" localSheetId="6">#REF!</definedName>
    <definedName name="DocumentRevNote3" localSheetId="7">#REF!</definedName>
    <definedName name="DocumentRevNote3" localSheetId="8">#REF!</definedName>
    <definedName name="DocumentRevNote3" localSheetId="9">#REF!</definedName>
    <definedName name="DocumentRevNote3" localSheetId="10">#REF!</definedName>
    <definedName name="DocumentRevNote3" localSheetId="11">#REF!</definedName>
    <definedName name="DocumentRevNote3" localSheetId="12">#REF!</definedName>
    <definedName name="DocumentRevNote3">#REF!</definedName>
    <definedName name="DocuRevIndex" localSheetId="2">#REF!</definedName>
    <definedName name="DocuRevIndex" localSheetId="3">#REF!</definedName>
    <definedName name="DocuRevIndex" localSheetId="4">#REF!</definedName>
    <definedName name="DocuRevIndex" localSheetId="5">#REF!</definedName>
    <definedName name="DocuRevIndex" localSheetId="6">#REF!</definedName>
    <definedName name="DocuRevIndex" localSheetId="7">#REF!</definedName>
    <definedName name="DocuRevIndex" localSheetId="8">#REF!</definedName>
    <definedName name="DocuRevIndex" localSheetId="9">#REF!</definedName>
    <definedName name="DocuRevIndex" localSheetId="10">#REF!</definedName>
    <definedName name="DocuRevIndex" localSheetId="11">#REF!</definedName>
    <definedName name="DocuRevIndex" localSheetId="12">#REF!</definedName>
    <definedName name="DocuRevIndex">#REF!</definedName>
    <definedName name="Equipment1" localSheetId="2">#REF!</definedName>
    <definedName name="Equipment1" localSheetId="3">#REF!</definedName>
    <definedName name="Equipment1" localSheetId="4">#REF!</definedName>
    <definedName name="Equipment1" localSheetId="5">#REF!</definedName>
    <definedName name="Equipment1" localSheetId="6">#REF!</definedName>
    <definedName name="Equipment1" localSheetId="7">#REF!</definedName>
    <definedName name="Equipment1" localSheetId="8">#REF!</definedName>
    <definedName name="Equipment1" localSheetId="9">#REF!</definedName>
    <definedName name="Equipment1" localSheetId="10">#REF!</definedName>
    <definedName name="Equipment1" localSheetId="11">#REF!</definedName>
    <definedName name="Equipment1" localSheetId="12">#REF!</definedName>
    <definedName name="Equipment1">#REF!</definedName>
    <definedName name="Equipment2" localSheetId="2">#REF!</definedName>
    <definedName name="Equipment2" localSheetId="3">#REF!</definedName>
    <definedName name="Equipment2" localSheetId="4">#REF!</definedName>
    <definedName name="Equipment2" localSheetId="5">#REF!</definedName>
    <definedName name="Equipment2" localSheetId="6">#REF!</definedName>
    <definedName name="Equipment2" localSheetId="7">#REF!</definedName>
    <definedName name="Equipment2" localSheetId="8">#REF!</definedName>
    <definedName name="Equipment2" localSheetId="9">#REF!</definedName>
    <definedName name="Equipment2" localSheetId="10">#REF!</definedName>
    <definedName name="Equipment2" localSheetId="11">#REF!</definedName>
    <definedName name="Equipment2" localSheetId="12">#REF!</definedName>
    <definedName name="Equipment2">#REF!</definedName>
    <definedName name="FirstDataColumnBillOfMaterial" localSheetId="2">'Q150003-10101'!$A:$A</definedName>
    <definedName name="FirstDataColumnBillOfMaterial" localSheetId="3">'Q150003-10201'!$A:$A</definedName>
    <definedName name="FirstDataColumnBillOfMaterial" localSheetId="4">'Q150003-10301'!$A:$A</definedName>
    <definedName name="FirstDataColumnBillOfMaterial" localSheetId="5">'Q150003-10401'!$A:$A</definedName>
    <definedName name="FirstDataColumnBillOfMaterial" localSheetId="6">'Q150003-10501'!$A:$A</definedName>
    <definedName name="FirstDataColumnBillOfMaterial" localSheetId="7">'Q150003-10601'!$A:$A</definedName>
    <definedName name="FirstDataColumnBillOfMaterial" localSheetId="8">'Q150003-10901'!$A:$A</definedName>
    <definedName name="FirstDataColumnBillOfMaterial" localSheetId="9">'Q150003-11001'!$A:$A</definedName>
    <definedName name="FirstDataColumnBillOfMaterial" localSheetId="10">'Q150003-11101'!$A:$A</definedName>
    <definedName name="FirstDataColumnBillOfMaterial" localSheetId="11">'Q150003-11201'!$A:$A</definedName>
    <definedName name="FirstDataColumnBillOfMaterial" localSheetId="12">'Q150003-11301'!$A:$A</definedName>
    <definedName name="FirstDataColumnBillOfMaterial">Total!$A:$A</definedName>
    <definedName name="FirstDataRowBillOfMaterial" localSheetId="2">'Q150003-10101'!$3:$3</definedName>
    <definedName name="FirstDataRowBillOfMaterial" localSheetId="3">'Q150003-10201'!$3:$3</definedName>
    <definedName name="FirstDataRowBillOfMaterial" localSheetId="4">'Q150003-10301'!$3:$3</definedName>
    <definedName name="FirstDataRowBillOfMaterial" localSheetId="5">'Q150003-10401'!$3:$3</definedName>
    <definedName name="FirstDataRowBillOfMaterial" localSheetId="6">'Q150003-10501'!$3:$3</definedName>
    <definedName name="FirstDataRowBillOfMaterial" localSheetId="7">'Q150003-10601'!$3:$3</definedName>
    <definedName name="FirstDataRowBillOfMaterial" localSheetId="8">'Q150003-10901'!$3:$3</definedName>
    <definedName name="FirstDataRowBillOfMaterial" localSheetId="9">'Q150003-11001'!$3:$3</definedName>
    <definedName name="FirstDataRowBillOfMaterial" localSheetId="10">'Q150003-11101'!$3:$3</definedName>
    <definedName name="FirstDataRowBillOfMaterial" localSheetId="11">'Q150003-11201'!$3:$3</definedName>
    <definedName name="FirstDataRowBillOfMaterial" localSheetId="12">'Q150003-11301'!$3:$3</definedName>
    <definedName name="FirstDataRowBillOfMaterial">Total!$3:$3</definedName>
    <definedName name="FunctionalName" localSheetId="2">#REF!</definedName>
    <definedName name="FunctionalName" localSheetId="3">#REF!</definedName>
    <definedName name="FunctionalName" localSheetId="4">#REF!</definedName>
    <definedName name="FunctionalName" localSheetId="5">#REF!</definedName>
    <definedName name="FunctionalName" localSheetId="6">#REF!</definedName>
    <definedName name="FunctionalName" localSheetId="7">#REF!</definedName>
    <definedName name="FunctionalName" localSheetId="8">#REF!</definedName>
    <definedName name="FunctionalName" localSheetId="9">#REF!</definedName>
    <definedName name="FunctionalName" localSheetId="10">#REF!</definedName>
    <definedName name="FunctionalName" localSheetId="11">#REF!</definedName>
    <definedName name="FunctionalName" localSheetId="12">#REF!</definedName>
    <definedName name="FunctionalName">#REF!</definedName>
    <definedName name="Language" localSheetId="2">#REF!</definedName>
    <definedName name="Language" localSheetId="3">#REF!</definedName>
    <definedName name="Language" localSheetId="4">#REF!</definedName>
    <definedName name="Language" localSheetId="5">#REF!</definedName>
    <definedName name="Language" localSheetId="6">#REF!</definedName>
    <definedName name="Language" localSheetId="7">#REF!</definedName>
    <definedName name="Language" localSheetId="8">#REF!</definedName>
    <definedName name="Language" localSheetId="9">#REF!</definedName>
    <definedName name="Language" localSheetId="10">#REF!</definedName>
    <definedName name="Language" localSheetId="11">#REF!</definedName>
    <definedName name="Language" localSheetId="12">#REF!</definedName>
    <definedName name="Language">#REF!</definedName>
    <definedName name="LocationName" localSheetId="2">#REF!</definedName>
    <definedName name="LocationName" localSheetId="3">#REF!</definedName>
    <definedName name="LocationName" localSheetId="4">#REF!</definedName>
    <definedName name="LocationName" localSheetId="5">#REF!</definedName>
    <definedName name="LocationName" localSheetId="6">#REF!</definedName>
    <definedName name="LocationName" localSheetId="7">#REF!</definedName>
    <definedName name="LocationName" localSheetId="8">#REF!</definedName>
    <definedName name="LocationName" localSheetId="9">#REF!</definedName>
    <definedName name="LocationName" localSheetId="10">#REF!</definedName>
    <definedName name="LocationName" localSheetId="11">#REF!</definedName>
    <definedName name="LocationName" localSheetId="12">#REF!</definedName>
    <definedName name="LocationName">#REF!</definedName>
    <definedName name="MAKE_EJEC">CaratulaABB!$C$56</definedName>
    <definedName name="MAKE_FECHA">CaratulaABB!$E$54</definedName>
    <definedName name="MAKE_PROY">CaratulaABB!$C$54</definedName>
    <definedName name="MAKE_REV">CaratulaABB!$O$63</definedName>
    <definedName name="MAKE_REVISO">CaratulaABB!$C$58</definedName>
    <definedName name="MAKE_VERIFICO">CaratulaABB!$C$60</definedName>
    <definedName name="OrderNumber1" localSheetId="2">#REF!</definedName>
    <definedName name="OrderNumber1" localSheetId="3">#REF!</definedName>
    <definedName name="OrderNumber1" localSheetId="4">#REF!</definedName>
    <definedName name="OrderNumber1" localSheetId="5">#REF!</definedName>
    <definedName name="OrderNumber1" localSheetId="6">#REF!</definedName>
    <definedName name="OrderNumber1" localSheetId="7">#REF!</definedName>
    <definedName name="OrderNumber1" localSheetId="8">#REF!</definedName>
    <definedName name="OrderNumber1" localSheetId="9">#REF!</definedName>
    <definedName name="OrderNumber1" localSheetId="10">#REF!</definedName>
    <definedName name="OrderNumber1" localSheetId="11">#REF!</definedName>
    <definedName name="OrderNumber1" localSheetId="12">#REF!</definedName>
    <definedName name="OrderNumber1">#REF!</definedName>
    <definedName name="OrderNumber2" localSheetId="2">#REF!</definedName>
    <definedName name="OrderNumber2" localSheetId="3">#REF!</definedName>
    <definedName name="OrderNumber2" localSheetId="4">#REF!</definedName>
    <definedName name="OrderNumber2" localSheetId="5">#REF!</definedName>
    <definedName name="OrderNumber2" localSheetId="6">#REF!</definedName>
    <definedName name="OrderNumber2" localSheetId="7">#REF!</definedName>
    <definedName name="OrderNumber2" localSheetId="8">#REF!</definedName>
    <definedName name="OrderNumber2" localSheetId="9">#REF!</definedName>
    <definedName name="OrderNumber2" localSheetId="10">#REF!</definedName>
    <definedName name="OrderNumber2" localSheetId="11">#REF!</definedName>
    <definedName name="OrderNumber2" localSheetId="12">#REF!</definedName>
    <definedName name="OrderNumber2">#REF!</definedName>
    <definedName name="PageCount" localSheetId="2">#REF!</definedName>
    <definedName name="PageCount" localSheetId="3">#REF!</definedName>
    <definedName name="PageCount" localSheetId="4">#REF!</definedName>
    <definedName name="PageCount" localSheetId="5">#REF!</definedName>
    <definedName name="PageCount" localSheetId="6">#REF!</definedName>
    <definedName name="PageCount" localSheetId="7">#REF!</definedName>
    <definedName name="PageCount" localSheetId="8">#REF!</definedName>
    <definedName name="PageCount" localSheetId="9">#REF!</definedName>
    <definedName name="PageCount" localSheetId="10">#REF!</definedName>
    <definedName name="PageCount" localSheetId="11">#REF!</definedName>
    <definedName name="PageCount" localSheetId="12">#REF!</definedName>
    <definedName name="PageCount">#REF!</definedName>
    <definedName name="PageHeight" localSheetId="2">'Q150003-10101'!$C$1</definedName>
    <definedName name="PageHeight" localSheetId="3">'Q150003-10201'!$C$1</definedName>
    <definedName name="PageHeight" localSheetId="4">'Q150003-10301'!$C$1</definedName>
    <definedName name="PageHeight" localSheetId="5">'Q150003-10401'!$C$1</definedName>
    <definedName name="PageHeight" localSheetId="6">'Q150003-10501'!$C$1</definedName>
    <definedName name="PageHeight" localSheetId="7">'Q150003-10601'!$C$1</definedName>
    <definedName name="PageHeight" localSheetId="8">'Q150003-10901'!$C$1</definedName>
    <definedName name="PageHeight" localSheetId="9">'Q150003-11001'!$C$1</definedName>
    <definedName name="PageHeight" localSheetId="10">'Q150003-11101'!$C$1</definedName>
    <definedName name="PageHeight" localSheetId="11">'Q150003-11201'!$C$1</definedName>
    <definedName name="PageHeight" localSheetId="12">'Q150003-11301'!$C$1</definedName>
    <definedName name="PageHeight">#REF!</definedName>
    <definedName name="Plant1" localSheetId="2">#REF!</definedName>
    <definedName name="Plant1" localSheetId="3">#REF!</definedName>
    <definedName name="Plant1" localSheetId="4">#REF!</definedName>
    <definedName name="Plant1" localSheetId="5">#REF!</definedName>
    <definedName name="Plant1" localSheetId="6">#REF!</definedName>
    <definedName name="Plant1" localSheetId="7">#REF!</definedName>
    <definedName name="Plant1" localSheetId="8">#REF!</definedName>
    <definedName name="Plant1" localSheetId="9">#REF!</definedName>
    <definedName name="Plant1" localSheetId="10">#REF!</definedName>
    <definedName name="Plant1" localSheetId="11">#REF!</definedName>
    <definedName name="Plant1" localSheetId="12">#REF!</definedName>
    <definedName name="Plant1">#REF!</definedName>
    <definedName name="Plant2" localSheetId="2">#REF!</definedName>
    <definedName name="Plant2" localSheetId="3">#REF!</definedName>
    <definedName name="Plant2" localSheetId="4">#REF!</definedName>
    <definedName name="Plant2" localSheetId="5">#REF!</definedName>
    <definedName name="Plant2" localSheetId="6">#REF!</definedName>
    <definedName name="Plant2" localSheetId="7">#REF!</definedName>
    <definedName name="Plant2" localSheetId="8">#REF!</definedName>
    <definedName name="Plant2" localSheetId="9">#REF!</definedName>
    <definedName name="Plant2" localSheetId="10">#REF!</definedName>
    <definedName name="Plant2" localSheetId="11">#REF!</definedName>
    <definedName name="Plant2" localSheetId="12">#REF!</definedName>
    <definedName name="Plant2">#REF!</definedName>
    <definedName name="_xlnm.Print_Area" localSheetId="0">CaratulaABB!$A$1:$Q$64</definedName>
    <definedName name="_xlnm.Print_Area" localSheetId="2">'Q150003-10101'!$A$2:$H$43</definedName>
    <definedName name="_xlnm.Print_Area" localSheetId="3">'Q150003-10201'!$A$2:$H$43</definedName>
    <definedName name="_xlnm.Print_Area" localSheetId="4">'Q150003-10301'!$A$2:$H$44</definedName>
    <definedName name="_xlnm.Print_Area" localSheetId="5">'Q150003-10401'!$A$2:$H$44</definedName>
    <definedName name="_xlnm.Print_Area" localSheetId="6">'Q150003-10501'!$A$2:$H$45</definedName>
    <definedName name="_xlnm.Print_Area" localSheetId="7">'Q150003-10601'!$A$2:$H$35</definedName>
    <definedName name="_xlnm.Print_Area" localSheetId="8">'Q150003-10901'!$A$2:$H$42</definedName>
    <definedName name="_xlnm.Print_Area" localSheetId="9">'Q150003-11001'!$A$2:$H$41</definedName>
    <definedName name="_xlnm.Print_Area" localSheetId="10">'Q150003-11101'!$A$2:$H$28</definedName>
    <definedName name="_xlnm.Print_Area" localSheetId="11">'Q150003-11201'!$A$2:$H$28</definedName>
    <definedName name="_xlnm.Print_Area" localSheetId="12">'Q150003-11301'!$A$2:$H$29</definedName>
    <definedName name="_xlnm.Print_Area" localSheetId="1">Total!$A$2:$L$67</definedName>
    <definedName name="_xlnm.Print_Titles" localSheetId="2">'Q150003-10101'!$2:$3</definedName>
    <definedName name="_xlnm.Print_Titles" localSheetId="3">'Q150003-10201'!$2:$3</definedName>
    <definedName name="_xlnm.Print_Titles" localSheetId="4">'Q150003-10301'!$2:$3</definedName>
    <definedName name="_xlnm.Print_Titles" localSheetId="5">'Q150003-10401'!$2:$3</definedName>
    <definedName name="_xlnm.Print_Titles" localSheetId="6">'Q150003-10501'!$2:$3</definedName>
    <definedName name="_xlnm.Print_Titles" localSheetId="7">'Q150003-10601'!$2:$3</definedName>
    <definedName name="_xlnm.Print_Titles" localSheetId="8">'Q150003-10901'!$2:$3</definedName>
    <definedName name="_xlnm.Print_Titles" localSheetId="9">'Q150003-11001'!$2:$3</definedName>
    <definedName name="_xlnm.Print_Titles" localSheetId="10">'Q150003-11101'!$2:$3</definedName>
    <definedName name="_xlnm.Print_Titles" localSheetId="11">'Q150003-11201'!$2:$3</definedName>
    <definedName name="_xlnm.Print_Titles" localSheetId="12">'Q150003-11301'!$2:$3</definedName>
    <definedName name="_xlnm.Print_Titles" localSheetId="1">Total!$2:$3</definedName>
    <definedName name="ProjectTitle1" localSheetId="2">#REF!</definedName>
    <definedName name="ProjectTitle1" localSheetId="3">#REF!</definedName>
    <definedName name="ProjectTitle1" localSheetId="4">#REF!</definedName>
    <definedName name="ProjectTitle1" localSheetId="5">#REF!</definedName>
    <definedName name="ProjectTitle1" localSheetId="6">#REF!</definedName>
    <definedName name="ProjectTitle1" localSheetId="7">#REF!</definedName>
    <definedName name="ProjectTitle1" localSheetId="8">#REF!</definedName>
    <definedName name="ProjectTitle1" localSheetId="9">#REF!</definedName>
    <definedName name="ProjectTitle1" localSheetId="10">#REF!</definedName>
    <definedName name="ProjectTitle1" localSheetId="11">#REF!</definedName>
    <definedName name="ProjectTitle1" localSheetId="12">#REF!</definedName>
    <definedName name="ProjectTitle1">#REF!</definedName>
    <definedName name="ProjectTitle2" localSheetId="2">#REF!</definedName>
    <definedName name="ProjectTitle2" localSheetId="3">#REF!</definedName>
    <definedName name="ProjectTitle2" localSheetId="4">#REF!</definedName>
    <definedName name="ProjectTitle2" localSheetId="5">#REF!</definedName>
    <definedName name="ProjectTitle2" localSheetId="6">#REF!</definedName>
    <definedName name="ProjectTitle2" localSheetId="7">#REF!</definedName>
    <definedName name="ProjectTitle2" localSheetId="8">#REF!</definedName>
    <definedName name="ProjectTitle2" localSheetId="9">#REF!</definedName>
    <definedName name="ProjectTitle2" localSheetId="10">#REF!</definedName>
    <definedName name="ProjectTitle2" localSheetId="11">#REF!</definedName>
    <definedName name="ProjectTitle2" localSheetId="12">#REF!</definedName>
    <definedName name="ProjectTitle2">#REF!</definedName>
    <definedName name="RespDep" localSheetId="2">#REF!</definedName>
    <definedName name="RespDep" localSheetId="3">#REF!</definedName>
    <definedName name="RespDep" localSheetId="4">#REF!</definedName>
    <definedName name="RespDep" localSheetId="5">#REF!</definedName>
    <definedName name="RespDep" localSheetId="6">#REF!</definedName>
    <definedName name="RespDep" localSheetId="7">#REF!</definedName>
    <definedName name="RespDep" localSheetId="8">#REF!</definedName>
    <definedName name="RespDep" localSheetId="9">#REF!</definedName>
    <definedName name="RespDep" localSheetId="10">#REF!</definedName>
    <definedName name="RespDep" localSheetId="11">#REF!</definedName>
    <definedName name="RespDep" localSheetId="12">#REF!</definedName>
    <definedName name="RespDep">#REF!</definedName>
  </definedNames>
  <calcPr calcId="152511" refMode="R1C1"/>
</workbook>
</file>

<file path=xl/calcChain.xml><?xml version="1.0" encoding="utf-8"?>
<calcChain xmlns="http://schemas.openxmlformats.org/spreadsheetml/2006/main">
  <c r="J28" i="22" l="1"/>
  <c r="J67" i="22"/>
  <c r="J66" i="22"/>
  <c r="J65" i="22"/>
  <c r="J64" i="22"/>
  <c r="J63" i="22"/>
  <c r="J62" i="22"/>
  <c r="J61" i="22"/>
  <c r="J60" i="22"/>
  <c r="J59" i="22"/>
  <c r="J58" i="22"/>
  <c r="J57" i="22"/>
  <c r="J56" i="22"/>
  <c r="J55" i="22"/>
  <c r="J54" i="22"/>
  <c r="J53" i="22"/>
  <c r="J52" i="22"/>
  <c r="J51" i="22"/>
  <c r="J50" i="22"/>
  <c r="J49" i="22"/>
  <c r="J48" i="22"/>
  <c r="J47" i="22"/>
  <c r="J46" i="22"/>
  <c r="J45" i="22"/>
  <c r="J44" i="22"/>
  <c r="J43" i="22"/>
  <c r="J42" i="22"/>
  <c r="J41" i="22"/>
  <c r="J40" i="22"/>
  <c r="J39" i="22"/>
  <c r="J38" i="22"/>
  <c r="J37" i="22"/>
  <c r="J36" i="22"/>
  <c r="J35" i="22"/>
  <c r="J34" i="22"/>
  <c r="J33" i="22"/>
  <c r="J32" i="22"/>
  <c r="J31" i="22"/>
  <c r="J30" i="22"/>
  <c r="J29" i="22"/>
  <c r="J27" i="22"/>
  <c r="J26" i="22"/>
  <c r="J25" i="22"/>
  <c r="J24" i="22"/>
  <c r="J23" i="22"/>
  <c r="J22" i="22"/>
  <c r="J21" i="22"/>
  <c r="J20" i="22"/>
  <c r="J19" i="22"/>
  <c r="J18" i="22"/>
  <c r="J17" i="22"/>
  <c r="J16" i="22"/>
  <c r="J15" i="22"/>
  <c r="J14" i="22"/>
  <c r="J13" i="22"/>
  <c r="J12" i="22"/>
  <c r="J11" i="22"/>
  <c r="J10" i="22"/>
  <c r="J9" i="22"/>
  <c r="J8" i="22"/>
  <c r="J7" i="22"/>
  <c r="J6" i="22"/>
  <c r="J5" i="22"/>
  <c r="J4" i="22"/>
</calcChain>
</file>

<file path=xl/sharedStrings.xml><?xml version="1.0" encoding="utf-8"?>
<sst xmlns="http://schemas.openxmlformats.org/spreadsheetml/2006/main" count="3811" uniqueCount="338">
  <si>
    <t>Descripción</t>
  </si>
  <si>
    <t>VERIFICÓ</t>
  </si>
  <si>
    <t>REFERENCIAS :</t>
  </si>
  <si>
    <t>abb</t>
  </si>
  <si>
    <t>D.FAGIOLI</t>
  </si>
  <si>
    <t>Datos técnicos 1</t>
  </si>
  <si>
    <t>1 / XX</t>
  </si>
  <si>
    <t>ARCHIVO:</t>
  </si>
  <si>
    <t>PROYECTÓ</t>
  </si>
  <si>
    <t>REV.</t>
  </si>
  <si>
    <t>FORMATO</t>
  </si>
  <si>
    <t>M. G. PRESTA</t>
  </si>
  <si>
    <t>DESCRIPCION</t>
  </si>
  <si>
    <t>09/05/2016</t>
  </si>
  <si>
    <t>Ítem</t>
  </si>
  <si>
    <t>ESCALA</t>
  </si>
  <si>
    <t>Código del fabricante</t>
  </si>
  <si>
    <t>Comentarios</t>
  </si>
  <si>
    <t>A3</t>
  </si>
  <si>
    <t>NOMBRE</t>
  </si>
  <si>
    <t>FECHA</t>
  </si>
  <si>
    <t>REVISÓ</t>
  </si>
  <si>
    <t>EO</t>
  </si>
  <si>
    <t>S/E</t>
  </si>
  <si>
    <t>EJECUTÓ</t>
  </si>
  <si>
    <t>D.TURCO</t>
  </si>
  <si>
    <t>Datos técnicos 2</t>
  </si>
  <si>
    <t>LISTA DE REVISIONES</t>
  </si>
  <si>
    <t>M.G.P.</t>
  </si>
  <si>
    <t>HOJA</t>
  </si>
  <si>
    <t>Designación</t>
  </si>
  <si>
    <t>Fabricante</t>
  </si>
  <si>
    <t>LISTA DE MATERIALES</t>
  </si>
  <si>
    <t>Saldo</t>
  </si>
  <si>
    <t>Responsable</t>
  </si>
  <si>
    <t>Cantidad Necesaria</t>
  </si>
  <si>
    <t>Cantidad Comprada</t>
  </si>
  <si>
    <t>1</t>
  </si>
  <si>
    <t>Patch Connector 4 ST</t>
  </si>
  <si>
    <t>PATCH CONNECTOR 4 ST</t>
  </si>
  <si>
    <t/>
  </si>
  <si>
    <t>2</t>
  </si>
  <si>
    <t>Auxiliary contact block</t>
  </si>
  <si>
    <t>MCBH-10</t>
  </si>
  <si>
    <t>1xNO</t>
  </si>
  <si>
    <t>Contact block with holder</t>
  </si>
  <si>
    <t>ABB</t>
  </si>
  <si>
    <t>1SFA611605R1101</t>
  </si>
  <si>
    <t>3</t>
  </si>
  <si>
    <t>Auxiliary relay</t>
  </si>
  <si>
    <t>RXMB1</t>
  </si>
  <si>
    <t>220-225VDC</t>
  </si>
  <si>
    <t>4CO</t>
  </si>
  <si>
    <t>1MRK000440-AS</t>
  </si>
  <si>
    <t>4</t>
  </si>
  <si>
    <t>RXME1</t>
  </si>
  <si>
    <t>220-250VDC</t>
  </si>
  <si>
    <t>2NO</t>
  </si>
  <si>
    <t>RK  221025-AS</t>
  </si>
  <si>
    <t>14</t>
  </si>
  <si>
    <t>5</t>
  </si>
  <si>
    <t>RXSF1</t>
  </si>
  <si>
    <t>2NO, 4NC</t>
  </si>
  <si>
    <t>RK  271019-AS</t>
  </si>
  <si>
    <t>6</t>
  </si>
  <si>
    <t>Bistable relay</t>
  </si>
  <si>
    <t>RXMD1</t>
  </si>
  <si>
    <t>110VDC</t>
  </si>
  <si>
    <t>1MRK001602-AN</t>
  </si>
  <si>
    <t>7</t>
  </si>
  <si>
    <t>Branch connector</t>
  </si>
  <si>
    <t>RTXC</t>
  </si>
  <si>
    <t>10A</t>
  </si>
  <si>
    <t>RK  924002</t>
  </si>
  <si>
    <t>8</t>
  </si>
  <si>
    <t>Lamp block with holder</t>
  </si>
  <si>
    <t>MCBH-003</t>
  </si>
  <si>
    <t>Holder for bulbs up to 130VAC/VDC, 2W</t>
  </si>
  <si>
    <t>230VAC supply voltage</t>
  </si>
  <si>
    <t>1SFA611605R1400</t>
  </si>
  <si>
    <t>9</t>
  </si>
  <si>
    <t>Miniature circuit breaker</t>
  </si>
  <si>
    <t>S 202 C 10</t>
  </si>
  <si>
    <t>2 pole, 440VAC/125VDC</t>
  </si>
  <si>
    <t>2CDS252001R0104</t>
  </si>
  <si>
    <t>10</t>
  </si>
  <si>
    <t>Numerical line differential protection IED</t>
  </si>
  <si>
    <t>RED670</t>
  </si>
  <si>
    <t>1MRK002810-AA</t>
  </si>
  <si>
    <t>11</t>
  </si>
  <si>
    <t>Outlet</t>
  </si>
  <si>
    <t>M1173</t>
  </si>
  <si>
    <t>250VAC, 16A</t>
  </si>
  <si>
    <t>2 pole and earth</t>
  </si>
  <si>
    <t>2CSM110000R0701</t>
  </si>
  <si>
    <t>12</t>
  </si>
  <si>
    <t>Pilot light lens</t>
  </si>
  <si>
    <t>ML1-100R</t>
  </si>
  <si>
    <t>ø22mm</t>
  </si>
  <si>
    <t>Red</t>
  </si>
  <si>
    <t>1SFA611400R1001</t>
  </si>
  <si>
    <t>13</t>
  </si>
  <si>
    <t>Supervision relay</t>
  </si>
  <si>
    <t>RXEM1</t>
  </si>
  <si>
    <t>110-125VDC</t>
  </si>
  <si>
    <t>1MRK002080-AN</t>
  </si>
  <si>
    <t>Switch</t>
  </si>
  <si>
    <t>On/Off switch</t>
  </si>
  <si>
    <t>2NO, 2NC</t>
  </si>
  <si>
    <t>RK  795017-AA</t>
  </si>
  <si>
    <t>15</t>
  </si>
  <si>
    <t>Switch handle</t>
  </si>
  <si>
    <t>K2SS1-11R</t>
  </si>
  <si>
    <t>Red plastic bezel, 24mm cut-out</t>
  </si>
  <si>
    <t>2 Position selector short handle</t>
  </si>
  <si>
    <t>1SFA616200R1101</t>
  </si>
  <si>
    <t>16</t>
  </si>
  <si>
    <t>KP1-11G</t>
  </si>
  <si>
    <t>Pushbuttons, iluminated</t>
  </si>
  <si>
    <t>1SFA616100R1102</t>
  </si>
  <si>
    <t>17</t>
  </si>
  <si>
    <t>KP1-11R</t>
  </si>
  <si>
    <t>1SFA616100R1101</t>
  </si>
  <si>
    <t>18</t>
  </si>
  <si>
    <t>Test switch</t>
  </si>
  <si>
    <t>RTXP24-BN</t>
  </si>
  <si>
    <t>20A</t>
  </si>
  <si>
    <t>RK  926315-BN</t>
  </si>
  <si>
    <t>19</t>
  </si>
  <si>
    <t>Indicator light socket</t>
  </si>
  <si>
    <t>Plastic colourless translucent</t>
  </si>
  <si>
    <t>Ø 22.5mm</t>
  </si>
  <si>
    <t>EAO</t>
  </si>
  <si>
    <t>704.020.7</t>
  </si>
  <si>
    <t>20</t>
  </si>
  <si>
    <t>Lamp for push button</t>
  </si>
  <si>
    <t>700.000.7</t>
  </si>
  <si>
    <t>130V, 20mA</t>
  </si>
  <si>
    <t>Socket Ba9s</t>
  </si>
  <si>
    <t>21</t>
  </si>
  <si>
    <t>Calefactor</t>
  </si>
  <si>
    <t>SERIE 7H</t>
  </si>
  <si>
    <t>120-240 V AC-DC / 50 W</t>
  </si>
  <si>
    <t>Finder AG</t>
  </si>
  <si>
    <t>7H.11.0.230.1050</t>
  </si>
  <si>
    <t>22</t>
  </si>
  <si>
    <t>Contactor socket</t>
  </si>
  <si>
    <t>Serie 96</t>
  </si>
  <si>
    <t>96.04</t>
  </si>
  <si>
    <t>23</t>
  </si>
  <si>
    <t>Thermostat</t>
  </si>
  <si>
    <t>SERIE 7T</t>
  </si>
  <si>
    <t>250 VAC/10 A</t>
  </si>
  <si>
    <t>0-60°C</t>
  </si>
  <si>
    <t>7T.81.0.000.2403</t>
  </si>
  <si>
    <t>24</t>
  </si>
  <si>
    <t>Microcontacto de puerta</t>
  </si>
  <si>
    <t>MPR-2L</t>
  </si>
  <si>
    <t>Neumann</t>
  </si>
  <si>
    <t>25</t>
  </si>
  <si>
    <t>Borne doble UDK</t>
  </si>
  <si>
    <t>UDK 4</t>
  </si>
  <si>
    <t>Phoenix Contact</t>
  </si>
  <si>
    <t>2775016</t>
  </si>
  <si>
    <t>36</t>
  </si>
  <si>
    <t>26</t>
  </si>
  <si>
    <t>Borne interrumpible  por cuchilla</t>
  </si>
  <si>
    <t>UT 4-MT</t>
  </si>
  <si>
    <t>3046139</t>
  </si>
  <si>
    <t>60</t>
  </si>
  <si>
    <t>27</t>
  </si>
  <si>
    <t>Borne seccionable a corredera</t>
  </si>
  <si>
    <t>URTK/S</t>
  </si>
  <si>
    <t>0311087</t>
  </si>
  <si>
    <t>72</t>
  </si>
  <si>
    <t>28</t>
  </si>
  <si>
    <t>Borne universal UK</t>
  </si>
  <si>
    <t>UK 6 N</t>
  </si>
  <si>
    <t>3004524</t>
  </si>
  <si>
    <t>29</t>
  </si>
  <si>
    <t>Borne universal UT</t>
  </si>
  <si>
    <t>UT 4</t>
  </si>
  <si>
    <t>3044102</t>
  </si>
  <si>
    <t>396</t>
  </si>
  <si>
    <t>30</t>
  </si>
  <si>
    <t>Bracket switch bar UK6N</t>
  </si>
  <si>
    <t>SB 2-8-T</t>
  </si>
  <si>
    <t>2 pole</t>
  </si>
  <si>
    <t>3026366</t>
  </si>
  <si>
    <t>31</t>
  </si>
  <si>
    <t>End bracket</t>
  </si>
  <si>
    <t>E/UK</t>
  </si>
  <si>
    <t>1201442</t>
  </si>
  <si>
    <t>32</t>
  </si>
  <si>
    <t>Separador para bornes UT</t>
  </si>
  <si>
    <t>ATP-UT</t>
  </si>
  <si>
    <t>3047167</t>
  </si>
  <si>
    <t>33</t>
  </si>
  <si>
    <t>Separador TS-RTK</t>
  </si>
  <si>
    <t>TS-RTK</t>
  </si>
  <si>
    <t>0310211</t>
  </si>
  <si>
    <t>34</t>
  </si>
  <si>
    <t>Tapa D-UDK 4/10</t>
  </si>
  <si>
    <t>D-UK 4/10</t>
  </si>
  <si>
    <t>3003020</t>
  </si>
  <si>
    <t>35</t>
  </si>
  <si>
    <t>Tapa para bornes UT</t>
  </si>
  <si>
    <t>D-UT 2.5/10</t>
  </si>
  <si>
    <t>3047028</t>
  </si>
  <si>
    <t>Tope bornera E/NS 35 N</t>
  </si>
  <si>
    <t>E/NS 35 N</t>
  </si>
  <si>
    <t>37</t>
  </si>
  <si>
    <t>Auxiliar Contactor</t>
  </si>
  <si>
    <t>0 200</t>
  </si>
  <si>
    <t>24-220 Vcc/ 24-180Vca</t>
  </si>
  <si>
    <t>Vefben</t>
  </si>
  <si>
    <t>38</t>
  </si>
  <si>
    <t>C 200</t>
  </si>
  <si>
    <t>39</t>
  </si>
  <si>
    <t>Contacto NC</t>
  </si>
  <si>
    <t>0 E043</t>
  </si>
  <si>
    <t>3NA</t>
  </si>
  <si>
    <t>Without holder</t>
  </si>
  <si>
    <t>40</t>
  </si>
  <si>
    <t>MC2-01</t>
  </si>
  <si>
    <t>4NA</t>
  </si>
  <si>
    <t>48</t>
  </si>
  <si>
    <t>Cantidad</t>
  </si>
  <si>
    <t>Patch Connector</t>
  </si>
  <si>
    <t>PATCH CONNECTOR</t>
  </si>
  <si>
    <t>Numerical line distance protection IED</t>
  </si>
  <si>
    <t>REL670</t>
  </si>
  <si>
    <t>1MRK002812-AA</t>
  </si>
  <si>
    <t>RTXP24-BR</t>
  </si>
  <si>
    <t>RK  926315-BR</t>
  </si>
  <si>
    <t>80</t>
  </si>
  <si>
    <t>397</t>
  </si>
  <si>
    <t>41</t>
  </si>
  <si>
    <t>JN-DE IP10</t>
  </si>
  <si>
    <t>110-220VDC</t>
  </si>
  <si>
    <t>For relay series RJ, BJ, TJ</t>
  </si>
  <si>
    <t>Arteche</t>
  </si>
  <si>
    <t>RPO-2007-P</t>
  </si>
  <si>
    <t>6 a 220 Vcc / 110 o 220 Vca / Frec.: 1 a 1,5 Hz</t>
  </si>
  <si>
    <t>BOHERDI</t>
  </si>
  <si>
    <t>EB4-018</t>
  </si>
  <si>
    <t>54</t>
  </si>
  <si>
    <t>50</t>
  </si>
  <si>
    <t>362</t>
  </si>
  <si>
    <t>42</t>
  </si>
  <si>
    <t>56</t>
  </si>
  <si>
    <t>220VDC</t>
  </si>
  <si>
    <t>1MRK001605-AS</t>
  </si>
  <si>
    <t>High speed trip relay</t>
  </si>
  <si>
    <t>RXMS1</t>
  </si>
  <si>
    <t>220Vca</t>
  </si>
  <si>
    <t>2CO, Variant A</t>
  </si>
  <si>
    <t>RK  216037-AS</t>
  </si>
  <si>
    <t>Numerical busbar protection IED</t>
  </si>
  <si>
    <t>REB670</t>
  </si>
  <si>
    <t>1MRK002801-AA</t>
  </si>
  <si>
    <t>RTXP24-CA</t>
  </si>
  <si>
    <t>RK  926315-CA</t>
  </si>
  <si>
    <t>91</t>
  </si>
  <si>
    <t>64</t>
  </si>
  <si>
    <t>240</t>
  </si>
  <si>
    <t>57</t>
  </si>
  <si>
    <t>Patch Connector 6 ST</t>
  </si>
  <si>
    <t>PATCH CONNECTOR 6 ST</t>
  </si>
  <si>
    <t>ST connectors</t>
  </si>
  <si>
    <t>1MRK000440-AN</t>
  </si>
  <si>
    <t>RK  221025-AN</t>
  </si>
  <si>
    <t>RK  271019-AN</t>
  </si>
  <si>
    <t>RXMD2</t>
  </si>
  <si>
    <t>9CO</t>
  </si>
  <si>
    <t>1MRK001986-AN</t>
  </si>
  <si>
    <t>RK  216037-AN</t>
  </si>
  <si>
    <t>Protección de Transformador IED</t>
  </si>
  <si>
    <t>RET670</t>
  </si>
  <si>
    <t>1MRK002816-AA</t>
  </si>
  <si>
    <t>Stabilising resistor</t>
  </si>
  <si>
    <t>TDV50</t>
  </si>
  <si>
    <t>300/210 Ohm</t>
  </si>
  <si>
    <t>1KHF403752P0300</t>
  </si>
  <si>
    <t>E202/16r</t>
  </si>
  <si>
    <t>16A</t>
  </si>
  <si>
    <t>2 pole, 230/440VAC</t>
  </si>
  <si>
    <t>2CDE282001R0016</t>
  </si>
  <si>
    <t>RTXP24-CA_MOD</t>
  </si>
  <si>
    <t>RK  926315-CA_MOD</t>
  </si>
  <si>
    <t>RTXP24-CU</t>
  </si>
  <si>
    <t>RK  926315-CU</t>
  </si>
  <si>
    <t>Varistor Metrosil</t>
  </si>
  <si>
    <t>600A/S1/Spec.6368</t>
  </si>
  <si>
    <t>1 phase</t>
  </si>
  <si>
    <t>1MRK002059-B</t>
  </si>
  <si>
    <t>90</t>
  </si>
  <si>
    <t>Borne interrumpible por cuchilla</t>
  </si>
  <si>
    <t>120</t>
  </si>
  <si>
    <t>128</t>
  </si>
  <si>
    <t>74</t>
  </si>
  <si>
    <t>313</t>
  </si>
  <si>
    <t>61</t>
  </si>
  <si>
    <t>RTXP24-BH</t>
  </si>
  <si>
    <t>RK  926315-BH</t>
  </si>
  <si>
    <t>300</t>
  </si>
  <si>
    <t>288</t>
  </si>
  <si>
    <t>137</t>
  </si>
  <si>
    <t>312</t>
  </si>
  <si>
    <t>144</t>
  </si>
  <si>
    <t>RTXP24-BT</t>
  </si>
  <si>
    <t>RK  926315-BT</t>
  </si>
  <si>
    <t>69</t>
  </si>
  <si>
    <t>150</t>
  </si>
  <si>
    <t>0</t>
  </si>
  <si>
    <t>79</t>
  </si>
  <si>
    <t>378</t>
  </si>
  <si>
    <t>1038</t>
  </si>
  <si>
    <t>1336</t>
  </si>
  <si>
    <t>3245</t>
  </si>
  <si>
    <t>248</t>
  </si>
  <si>
    <t>287</t>
  </si>
  <si>
    <t>47</t>
  </si>
  <si>
    <t>43</t>
  </si>
  <si>
    <t>44</t>
  </si>
  <si>
    <t>320</t>
  </si>
  <si>
    <t>45</t>
  </si>
  <si>
    <t>582</t>
  </si>
  <si>
    <t>46</t>
  </si>
  <si>
    <t>49</t>
  </si>
  <si>
    <t>51</t>
  </si>
  <si>
    <t>52</t>
  </si>
  <si>
    <t>53</t>
  </si>
  <si>
    <t>55</t>
  </si>
  <si>
    <t>58</t>
  </si>
  <si>
    <t>59</t>
  </si>
  <si>
    <t>62</t>
  </si>
  <si>
    <t>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</si>
</sst>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9"/>
      <name val="Arial Unicode MS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1" fillId="0" borderId="0"/>
    <xf numFmtId="0" fontId="1" fillId="0" borderId="0"/>
    <xf numFmtId="0" fontId="3" fillId="0" borderId="0"/>
  </cellStyleXfs>
  <cellXfs count="146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Border="1" applyAlignment="1" applyProtection="1">
      <alignment horizontal="left" vertical="center"/>
      <protection locked="0"/>
    </xf>
    <xf numFmtId="0" fontId="1" fillId="2" borderId="3" xfId="2" applyFill="1" applyBorder="1" applyAlignment="1"/>
    <xf numFmtId="0" fontId="7" fillId="2" borderId="0" xfId="1" applyFont="1" applyFill="1" applyBorder="1" applyAlignment="1">
      <alignment horizontal="left" vertical="center"/>
    </xf>
    <xf numFmtId="0" fontId="3" fillId="2" borderId="0" xfId="1" applyFont="1" applyFill="1" applyBorder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21" fillId="2" borderId="0" xfId="1" applyFill="1"/>
    <xf numFmtId="0" fontId="4" fillId="2" borderId="13" xfId="1" applyNumberFormat="1" applyFont="1" applyFill="1" applyBorder="1" applyAlignment="1">
      <alignment horizontal="center" vertical="center"/>
    </xf>
    <xf numFmtId="0" fontId="12" fillId="2" borderId="7" xfId="1" applyFont="1" applyFill="1" applyBorder="1" applyAlignment="1">
      <alignment vertical="center"/>
    </xf>
    <xf numFmtId="0" fontId="2" fillId="2" borderId="0" xfId="1" applyFont="1" applyFill="1" applyBorder="1" applyAlignment="1">
      <alignment horizontal="left" vertical="center"/>
    </xf>
    <xf numFmtId="0" fontId="13" fillId="2" borderId="14" xfId="1" applyFont="1" applyFill="1" applyBorder="1" applyAlignment="1">
      <alignment vertical="center" wrapText="1"/>
    </xf>
    <xf numFmtId="0" fontId="10" fillId="2" borderId="15" xfId="1" applyFont="1" applyFill="1" applyBorder="1" applyAlignment="1">
      <alignment horizontal="center" vertical="center" wrapText="1"/>
    </xf>
    <xf numFmtId="0" fontId="21" fillId="2" borderId="0" xfId="1" applyFill="1" applyBorder="1" applyAlignment="1">
      <alignment vertical="center"/>
    </xf>
    <xf numFmtId="49" fontId="3" fillId="2" borderId="0" xfId="1" applyNumberFormat="1" applyFont="1" applyFill="1" applyBorder="1" applyAlignment="1">
      <alignment horizontal="left" vertical="center"/>
    </xf>
    <xf numFmtId="0" fontId="13" fillId="2" borderId="0" xfId="3" applyFont="1" applyFill="1" applyBorder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10" fillId="2" borderId="8" xfId="1" applyFont="1" applyFill="1" applyBorder="1" applyAlignment="1">
      <alignment horizontal="center" vertical="center"/>
    </xf>
    <xf numFmtId="0" fontId="5" fillId="0" borderId="2" xfId="0" applyNumberFormat="1" applyFont="1" applyFill="1" applyBorder="1" applyAlignment="1" applyProtection="1"/>
    <xf numFmtId="0" fontId="2" fillId="2" borderId="0" xfId="1" applyFont="1" applyFill="1" applyBorder="1" applyAlignment="1">
      <alignment horizontal="right" vertical="center"/>
    </xf>
    <xf numFmtId="0" fontId="12" fillId="2" borderId="21" xfId="1" applyFont="1" applyFill="1" applyBorder="1" applyAlignment="1">
      <alignment vertical="center"/>
    </xf>
    <xf numFmtId="0" fontId="16" fillId="0" borderId="0" xfId="0" applyNumberFormat="1" applyFont="1" applyFill="1" applyBorder="1" applyAlignment="1" applyProtection="1"/>
    <xf numFmtId="0" fontId="4" fillId="2" borderId="21" xfId="1" applyFont="1" applyFill="1" applyBorder="1" applyAlignment="1">
      <alignment horizontal="centerContinuous" vertical="center"/>
    </xf>
    <xf numFmtId="0" fontId="21" fillId="2" borderId="23" xfId="1" applyFill="1" applyBorder="1"/>
    <xf numFmtId="0" fontId="4" fillId="2" borderId="0" xfId="1" applyFont="1" applyFill="1" applyBorder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 applyBorder="1"/>
    <xf numFmtId="0" fontId="0" fillId="2" borderId="0" xfId="1" applyFont="1" applyFill="1" applyBorder="1" applyAlignment="1">
      <alignment horizontal="right" vertical="center"/>
    </xf>
    <xf numFmtId="0" fontId="0" fillId="2" borderId="0" xfId="1" applyNumberFormat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horizontal="center" vertical="center"/>
    </xf>
    <xf numFmtId="14" fontId="21" fillId="2" borderId="0" xfId="1" applyNumberFormat="1" applyFill="1" applyBorder="1" applyAlignment="1">
      <alignment horizontal="centerContinuous" vertical="center"/>
    </xf>
    <xf numFmtId="0" fontId="21" fillId="2" borderId="8" xfId="1" applyFill="1" applyBorder="1" applyAlignment="1">
      <alignment vertical="center"/>
    </xf>
    <xf numFmtId="0" fontId="21" fillId="2" borderId="15" xfId="1" applyFill="1" applyBorder="1"/>
    <xf numFmtId="0" fontId="1" fillId="2" borderId="23" xfId="2" applyFill="1" applyBorder="1" applyAlignment="1"/>
    <xf numFmtId="0" fontId="10" fillId="2" borderId="8" xfId="1" applyFont="1" applyFill="1" applyBorder="1" applyAlignment="1">
      <alignment horizontal="center" vertical="center" wrapText="1"/>
    </xf>
    <xf numFmtId="0" fontId="21" fillId="2" borderId="3" xfId="1" applyFill="1" applyBorder="1" applyAlignment="1">
      <alignment vertical="center"/>
    </xf>
    <xf numFmtId="0" fontId="6" fillId="2" borderId="21" xfId="1" applyFont="1" applyFill="1" applyBorder="1" applyAlignment="1">
      <alignment horizontal="center" vertical="center"/>
    </xf>
    <xf numFmtId="0" fontId="0" fillId="2" borderId="0" xfId="1" applyFont="1" applyFill="1" applyBorder="1" applyAlignment="1">
      <alignment horizontal="center" vertical="center"/>
    </xf>
    <xf numFmtId="0" fontId="17" fillId="2" borderId="3" xfId="1" applyFont="1" applyFill="1" applyBorder="1" applyAlignment="1">
      <alignment horizontal="left" vertical="center"/>
    </xf>
    <xf numFmtId="0" fontId="21" fillId="2" borderId="3" xfId="1" applyFill="1" applyBorder="1"/>
    <xf numFmtId="0" fontId="10" fillId="2" borderId="0" xfId="1" applyFont="1" applyFill="1" applyBorder="1" applyAlignment="1">
      <alignment vertical="center" wrapText="1"/>
    </xf>
    <xf numFmtId="0" fontId="0" fillId="2" borderId="0" xfId="1" applyFont="1" applyFill="1" applyBorder="1" applyAlignment="1">
      <alignment horizontal="left" vertical="center"/>
    </xf>
    <xf numFmtId="0" fontId="13" fillId="2" borderId="0" xfId="1" applyFont="1" applyFill="1" applyBorder="1" applyAlignment="1">
      <alignment vertical="center"/>
    </xf>
    <xf numFmtId="0" fontId="5" fillId="0" borderId="0" xfId="0" applyNumberFormat="1" applyFont="1" applyFill="1" applyBorder="1" applyAlignment="1" applyProtection="1"/>
    <xf numFmtId="0" fontId="21" fillId="2" borderId="15" xfId="1" applyFill="1" applyBorder="1" applyAlignment="1">
      <alignment vertical="center"/>
    </xf>
    <xf numFmtId="0" fontId="21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5" fillId="0" borderId="0" xfId="0" applyNumberFormat="1" applyFont="1" applyFill="1" applyBorder="1" applyAlignment="1" applyProtection="1">
      <alignment horizontal="right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Border="1" applyAlignment="1">
      <alignment horizontal="left" vertical="center"/>
    </xf>
    <xf numFmtId="0" fontId="21" fillId="2" borderId="23" xfId="1" applyFill="1" applyBorder="1" applyAlignment="1">
      <alignment vertical="center"/>
    </xf>
    <xf numFmtId="0" fontId="10" fillId="2" borderId="0" xfId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19" fillId="2" borderId="0" xfId="1" applyFont="1" applyFill="1" applyBorder="1" applyAlignment="1">
      <alignment vertical="center"/>
    </xf>
    <xf numFmtId="0" fontId="10" fillId="2" borderId="15" xfId="1" applyFont="1" applyFill="1" applyBorder="1" applyAlignment="1">
      <alignment horizontal="center" vertical="center"/>
    </xf>
    <xf numFmtId="0" fontId="13" fillId="2" borderId="0" xfId="1" applyFont="1" applyFill="1" applyBorder="1" applyAlignment="1">
      <alignment horizontal="left" vertical="center"/>
    </xf>
    <xf numFmtId="0" fontId="2" fillId="2" borderId="0" xfId="1" applyFont="1" applyFill="1" applyBorder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7" fillId="2" borderId="3" xfId="1" applyFont="1" applyFill="1" applyBorder="1" applyAlignment="1">
      <alignment horizontal="left" vertical="center"/>
    </xf>
    <xf numFmtId="0" fontId="21" fillId="2" borderId="0" xfId="1" applyFill="1" applyBorder="1" applyAlignment="1">
      <alignment horizontal="centerContinuous" vertical="center"/>
    </xf>
    <xf numFmtId="0" fontId="21" fillId="2" borderId="14" xfId="1" applyFill="1" applyBorder="1" applyAlignment="1">
      <alignment vertical="center"/>
    </xf>
    <xf numFmtId="0" fontId="0" fillId="2" borderId="0" xfId="1" applyFont="1" applyFill="1" applyBorder="1"/>
    <xf numFmtId="0" fontId="20" fillId="3" borderId="34" xfId="0" applyFont="1" applyFill="1" applyBorder="1" applyAlignment="1">
      <alignment horizontal="center" vertical="center" wrapText="1"/>
    </xf>
    <xf numFmtId="0" fontId="0" fillId="0" borderId="0" xfId="0" applyAlignment="1"/>
    <xf numFmtId="0" fontId="21" fillId="2" borderId="0" xfId="1" applyFill="1" applyBorder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NumberFormat="1" applyFont="1" applyFill="1" applyBorder="1" applyAlignment="1">
      <alignment horizontal="left" vertical="center"/>
    </xf>
    <xf numFmtId="0" fontId="2" fillId="2" borderId="0" xfId="1" applyNumberFormat="1" applyFont="1" applyFill="1" applyAlignment="1">
      <alignment horizontal="left"/>
    </xf>
    <xf numFmtId="0" fontId="12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22" fillId="0" borderId="35" xfId="0" applyFont="1" applyBorder="1" applyAlignment="1">
      <alignment vertical="top" wrapText="1"/>
    </xf>
    <xf numFmtId="49" fontId="22" fillId="0" borderId="35" xfId="0" applyNumberFormat="1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49" fontId="22" fillId="0" borderId="11" xfId="0" applyNumberFormat="1" applyFont="1" applyBorder="1" applyAlignment="1">
      <alignment vertical="top" wrapText="1"/>
    </xf>
    <xf numFmtId="0" fontId="0" fillId="2" borderId="0" xfId="1" applyFont="1" applyFill="1" applyBorder="1" applyAlignment="1">
      <alignment horizontal="center" vertical="center"/>
    </xf>
    <xf numFmtId="0" fontId="14" fillId="0" borderId="0" xfId="2" applyFont="1" applyBorder="1" applyAlignment="1">
      <alignment horizontal="center" vertical="center"/>
    </xf>
    <xf numFmtId="0" fontId="18" fillId="2" borderId="8" xfId="1" applyFont="1" applyFill="1" applyBorder="1" applyAlignment="1">
      <alignment textRotation="90"/>
    </xf>
    <xf numFmtId="0" fontId="9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NumberFormat="1" applyFont="1" applyFill="1" applyBorder="1" applyAlignment="1">
      <alignment horizontal="center" vertical="center"/>
    </xf>
    <xf numFmtId="0" fontId="0" fillId="2" borderId="20" xfId="1" applyNumberFormat="1" applyFont="1" applyFill="1" applyBorder="1" applyAlignment="1">
      <alignment horizontal="center" vertical="center"/>
    </xf>
    <xf numFmtId="0" fontId="0" fillId="2" borderId="16" xfId="1" applyNumberFormat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16" xfId="1" applyNumberFormat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NumberFormat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0" fillId="2" borderId="9" xfId="1" applyNumberFormat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NumberFormat="1" applyFont="1" applyFill="1" applyBorder="1" applyAlignment="1">
      <alignment horizontal="center" vertical="center" shrinkToFit="1"/>
    </xf>
    <xf numFmtId="0" fontId="11" fillId="2" borderId="14" xfId="1" applyFont="1" applyFill="1" applyBorder="1" applyAlignment="1">
      <alignment horizontal="center"/>
    </xf>
    <xf numFmtId="0" fontId="11" fillId="2" borderId="3" xfId="1" applyFont="1" applyFill="1" applyBorder="1" applyAlignment="1">
      <alignment horizontal="center"/>
    </xf>
    <xf numFmtId="0" fontId="11" fillId="2" borderId="23" xfId="1" applyFont="1" applyFill="1" applyBorder="1" applyAlignment="1">
      <alignment horizontal="center"/>
    </xf>
    <xf numFmtId="0" fontId="11" fillId="2" borderId="15" xfId="1" applyFont="1" applyFill="1" applyBorder="1" applyAlignment="1">
      <alignment horizontal="center"/>
    </xf>
    <xf numFmtId="0" fontId="11" fillId="2" borderId="0" xfId="1" applyFont="1" applyFill="1" applyBorder="1" applyAlignment="1">
      <alignment horizontal="center"/>
    </xf>
    <xf numFmtId="0" fontId="11" fillId="2" borderId="8" xfId="1" applyFont="1" applyFill="1" applyBorder="1" applyAlignment="1">
      <alignment horizontal="center"/>
    </xf>
    <xf numFmtId="0" fontId="11" fillId="2" borderId="21" xfId="1" applyFont="1" applyFill="1" applyBorder="1" applyAlignment="1">
      <alignment horizontal="center"/>
    </xf>
    <xf numFmtId="0" fontId="11" fillId="2" borderId="4" xfId="1" applyFont="1" applyFill="1" applyBorder="1" applyAlignment="1">
      <alignment horizontal="center"/>
    </xf>
    <xf numFmtId="0" fontId="11" fillId="2" borderId="7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 vertical="center" wrapText="1"/>
    </xf>
    <xf numFmtId="0" fontId="10" fillId="2" borderId="0" xfId="1" applyFont="1" applyFill="1" applyBorder="1" applyAlignment="1">
      <alignment horizontal="center" vertical="center" wrapText="1"/>
    </xf>
    <xf numFmtId="0" fontId="10" fillId="2" borderId="8" xfId="1" applyFont="1" applyFill="1" applyBorder="1" applyAlignment="1">
      <alignment horizontal="center" vertical="center" wrapText="1"/>
    </xf>
    <xf numFmtId="0" fontId="0" fillId="2" borderId="18" xfId="1" applyNumberFormat="1" applyFont="1" applyFill="1" applyBorder="1" applyAlignment="1">
      <alignment horizontal="center" vertical="center"/>
    </xf>
    <xf numFmtId="0" fontId="0" fillId="2" borderId="18" xfId="1" applyNumberFormat="1" applyFont="1" applyFill="1" applyBorder="1" applyAlignment="1">
      <alignment horizontal="center" vertical="center" shrinkToFit="1"/>
    </xf>
    <xf numFmtId="0" fontId="0" fillId="2" borderId="25" xfId="1" applyNumberFormat="1" applyFont="1" applyFill="1" applyBorder="1" applyAlignment="1">
      <alignment horizontal="center" vertical="center" shrinkToFit="1"/>
    </xf>
    <xf numFmtId="0" fontId="0" fillId="2" borderId="19" xfId="1" applyNumberFormat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15" fillId="2" borderId="30" xfId="1" applyFont="1" applyFill="1" applyBorder="1" applyAlignment="1">
      <alignment horizontal="center" vertical="center"/>
    </xf>
    <xf numFmtId="0" fontId="15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10" fillId="2" borderId="15" xfId="1" applyFont="1" applyFill="1" applyBorder="1" applyAlignment="1">
      <alignment horizontal="center" vertical="center"/>
    </xf>
    <xf numFmtId="0" fontId="10" fillId="2" borderId="0" xfId="1" applyFont="1" applyFill="1" applyBorder="1" applyAlignment="1">
      <alignment horizontal="center" vertical="center"/>
    </xf>
    <xf numFmtId="0" fontId="10" fillId="2" borderId="8" xfId="1" applyFont="1" applyFill="1" applyBorder="1" applyAlignment="1">
      <alignment horizontal="center" vertical="center"/>
    </xf>
    <xf numFmtId="0" fontId="15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8" fillId="2" borderId="4" xfId="1" applyFont="1" applyFill="1" applyBorder="1" applyAlignment="1">
      <alignment horizontal="left" vertical="top"/>
    </xf>
    <xf numFmtId="0" fontId="8" fillId="2" borderId="7" xfId="1" applyFont="1" applyFill="1" applyBorder="1" applyAlignment="1">
      <alignment horizontal="left" vertical="top"/>
    </xf>
    <xf numFmtId="0" fontId="6" fillId="2" borderId="21" xfId="1" applyFont="1" applyFill="1" applyBorder="1" applyAlignment="1">
      <alignment horizontal="center" vertical="center"/>
    </xf>
    <xf numFmtId="0" fontId="6" fillId="2" borderId="4" xfId="1" applyFont="1" applyFill="1" applyBorder="1" applyAlignment="1">
      <alignment horizontal="center" vertical="center"/>
    </xf>
    <xf numFmtId="0" fontId="6" fillId="2" borderId="7" xfId="1" applyFont="1" applyFill="1" applyBorder="1" applyAlignment="1">
      <alignment horizontal="center" vertical="center"/>
    </xf>
    <xf numFmtId="49" fontId="6" fillId="2" borderId="21" xfId="1" applyNumberFormat="1" applyFont="1" applyFill="1" applyBorder="1" applyAlignment="1">
      <alignment horizontal="center" vertical="center"/>
    </xf>
    <xf numFmtId="49" fontId="6" fillId="2" borderId="4" xfId="1" applyNumberFormat="1" applyFont="1" applyFill="1" applyBorder="1" applyAlignment="1">
      <alignment horizontal="center" vertical="center"/>
    </xf>
    <xf numFmtId="49" fontId="6" fillId="2" borderId="7" xfId="1" applyNumberFormat="1" applyFont="1" applyFill="1" applyBorder="1" applyAlignment="1">
      <alignment horizontal="center" vertical="center"/>
    </xf>
    <xf numFmtId="0" fontId="5" fillId="0" borderId="0" xfId="0" applyNumberFormat="1" applyFont="1" applyFill="1" applyBorder="1" applyAlignment="1" applyProtection="1">
      <alignment horizontal="left" vertical="center" wrapText="1"/>
    </xf>
    <xf numFmtId="0" fontId="16" fillId="0" borderId="36" xfId="0" applyFont="1" applyBorder="1" applyAlignment="1">
      <alignment vertical="top"/>
    </xf>
    <xf numFmtId="0" fontId="16" fillId="0" borderId="37" xfId="0" applyFont="1" applyBorder="1" applyAlignment="1">
      <alignment vertical="top"/>
    </xf>
    <xf numFmtId="0" fontId="16" fillId="0" borderId="38" xfId="0" applyFont="1" applyBorder="1" applyAlignment="1">
      <alignment vertical="top"/>
    </xf>
  </cellXfs>
  <cellStyles count="4">
    <cellStyle name="Normal" xfId="0" builtinId="0" customBuiltin="1"/>
    <cellStyle name="Normal 2" xfId="1"/>
    <cellStyle name="Normal 3" xfId="2"/>
    <cellStyle name="Normal_S1000-PB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ratulaABB">
    <pageSetUpPr fitToPage="1"/>
  </sheetPr>
  <dimension ref="A2:T64"/>
  <sheetViews>
    <sheetView view="pageBreakPreview" zoomScale="115" zoomScaleNormal="100" zoomScaleSheetLayoutView="115" workbookViewId="0">
      <selection activeCell="F57" sqref="F57"/>
    </sheetView>
  </sheetViews>
  <sheetFormatPr defaultColWidth="11.42578125" defaultRowHeight="18" customHeight="1" x14ac:dyDescent="0.2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 x14ac:dyDescent="0.25"/>
    <row r="3" spans="2:16" ht="18" customHeight="1" x14ac:dyDescent="0.2">
      <c r="B3" s="63"/>
      <c r="C3" s="40"/>
      <c r="D3" s="61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52"/>
    </row>
    <row r="4" spans="2:16" ht="18" customHeight="1" x14ac:dyDescent="0.2">
      <c r="B4" s="45"/>
      <c r="C4" s="4" t="s">
        <v>32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32"/>
    </row>
    <row r="5" spans="2:16" ht="18" customHeight="1" x14ac:dyDescent="0.2">
      <c r="B5" s="45"/>
      <c r="C5" s="57"/>
      <c r="D5" s="57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32"/>
    </row>
    <row r="6" spans="2:16" ht="18" customHeight="1" x14ac:dyDescent="0.2">
      <c r="B6" s="45"/>
      <c r="C6" s="20"/>
      <c r="D6" s="70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32"/>
    </row>
    <row r="7" spans="2:16" ht="18" customHeight="1" x14ac:dyDescent="0.2">
      <c r="B7" s="45"/>
      <c r="C7" s="57"/>
      <c r="P7" s="32"/>
    </row>
    <row r="8" spans="2:16" ht="18" customHeight="1" x14ac:dyDescent="0.2">
      <c r="B8" s="45"/>
      <c r="P8" s="32"/>
    </row>
    <row r="9" spans="2:16" ht="18" customHeight="1" x14ac:dyDescent="0.2">
      <c r="B9" s="45"/>
      <c r="C9" s="42"/>
      <c r="D9" s="29"/>
      <c r="G9" s="42"/>
      <c r="H9" s="67"/>
      <c r="I9" s="67"/>
      <c r="J9" s="67"/>
      <c r="K9" s="67"/>
      <c r="P9" s="32"/>
    </row>
    <row r="10" spans="2:16" ht="18" customHeight="1" x14ac:dyDescent="0.2">
      <c r="B10" s="45"/>
      <c r="C10" s="42"/>
      <c r="G10" s="42"/>
      <c r="H10" s="67"/>
      <c r="I10" s="67"/>
      <c r="J10" s="67"/>
      <c r="K10" s="67"/>
      <c r="P10" s="32"/>
    </row>
    <row r="11" spans="2:16" ht="18" customHeight="1" x14ac:dyDescent="0.2">
      <c r="B11" s="45"/>
      <c r="C11" s="42"/>
      <c r="G11" s="42"/>
      <c r="H11" s="67"/>
      <c r="I11" s="67"/>
      <c r="J11" s="67"/>
      <c r="K11" s="67"/>
      <c r="P11" s="32"/>
    </row>
    <row r="12" spans="2:16" ht="18" customHeight="1" x14ac:dyDescent="0.2">
      <c r="B12" s="45"/>
      <c r="C12" s="42"/>
      <c r="G12" s="42"/>
      <c r="H12" s="67"/>
      <c r="I12" s="67"/>
      <c r="J12" s="67"/>
      <c r="K12" s="67"/>
      <c r="P12" s="32"/>
    </row>
    <row r="13" spans="2:16" ht="18" customHeight="1" x14ac:dyDescent="0.2">
      <c r="B13" s="45"/>
      <c r="C13" s="42"/>
      <c r="G13" s="42"/>
      <c r="H13" s="67"/>
      <c r="I13" s="67"/>
      <c r="J13" s="67"/>
      <c r="K13" s="67"/>
      <c r="P13" s="32"/>
    </row>
    <row r="14" spans="2:16" ht="18" customHeight="1" x14ac:dyDescent="0.2">
      <c r="B14" s="45"/>
      <c r="C14" s="57"/>
      <c r="D14" s="69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32"/>
    </row>
    <row r="15" spans="2:16" ht="18" customHeight="1" x14ac:dyDescent="0.2">
      <c r="B15" s="45"/>
      <c r="C15" s="20"/>
      <c r="D15" s="69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32"/>
    </row>
    <row r="16" spans="2:16" ht="18" customHeight="1" x14ac:dyDescent="0.2">
      <c r="B16" s="45"/>
      <c r="C16" s="77"/>
      <c r="D16" s="78"/>
      <c r="E16" s="77"/>
      <c r="F16" s="78"/>
      <c r="G16" s="78"/>
      <c r="H16" s="77"/>
      <c r="I16" s="78"/>
      <c r="J16" s="78"/>
      <c r="K16" s="77"/>
      <c r="L16" s="78"/>
      <c r="M16" s="77"/>
      <c r="N16" s="78"/>
      <c r="O16" s="78"/>
      <c r="P16" s="32"/>
    </row>
    <row r="17" spans="2:16" ht="18" customHeight="1" x14ac:dyDescent="0.2">
      <c r="B17" s="45"/>
      <c r="C17" s="38"/>
      <c r="D17" s="29"/>
      <c r="E17" s="77"/>
      <c r="F17" s="78"/>
      <c r="G17" s="78"/>
      <c r="H17" s="28"/>
      <c r="I17" s="38"/>
      <c r="J17" s="42"/>
      <c r="K17" s="77"/>
      <c r="L17" s="78"/>
      <c r="M17" s="77"/>
      <c r="N17" s="78"/>
      <c r="O17" s="78"/>
      <c r="P17" s="32"/>
    </row>
    <row r="18" spans="2:16" ht="18" customHeight="1" x14ac:dyDescent="0.2">
      <c r="B18" s="45"/>
      <c r="C18" s="38"/>
      <c r="D18" s="29"/>
      <c r="E18" s="77"/>
      <c r="F18" s="78"/>
      <c r="G18" s="78"/>
      <c r="H18" s="28"/>
      <c r="I18" s="38"/>
      <c r="J18" s="42"/>
      <c r="K18" s="77"/>
      <c r="L18" s="78"/>
      <c r="M18" s="77"/>
      <c r="N18" s="78"/>
      <c r="O18" s="78"/>
      <c r="P18" s="32"/>
    </row>
    <row r="19" spans="2:16" ht="18" customHeight="1" x14ac:dyDescent="0.2">
      <c r="B19" s="45"/>
      <c r="C19" s="38"/>
      <c r="D19" s="29"/>
      <c r="E19" s="77"/>
      <c r="F19" s="78"/>
      <c r="G19" s="78"/>
      <c r="H19" s="28"/>
      <c r="I19" s="38"/>
      <c r="J19" s="42"/>
      <c r="K19" s="77"/>
      <c r="L19" s="78"/>
      <c r="M19" s="77"/>
      <c r="N19" s="78"/>
      <c r="O19" s="78"/>
      <c r="P19" s="32"/>
    </row>
    <row r="20" spans="2:16" ht="18" customHeight="1" x14ac:dyDescent="0.2">
      <c r="B20" s="45"/>
      <c r="C20" s="38"/>
      <c r="D20" s="29"/>
      <c r="E20" s="77"/>
      <c r="F20" s="78"/>
      <c r="G20" s="78"/>
      <c r="H20" s="28"/>
      <c r="I20" s="38"/>
      <c r="J20" s="42"/>
      <c r="K20" s="77"/>
      <c r="L20" s="78"/>
      <c r="M20" s="77"/>
      <c r="N20" s="78"/>
      <c r="O20" s="78"/>
      <c r="P20" s="32"/>
    </row>
    <row r="21" spans="2:16" ht="18" customHeight="1" x14ac:dyDescent="0.2">
      <c r="B21" s="45"/>
      <c r="C21" s="38"/>
      <c r="D21" s="29"/>
      <c r="E21" s="77"/>
      <c r="F21" s="78"/>
      <c r="G21" s="78"/>
      <c r="H21" s="28"/>
      <c r="I21" s="38"/>
      <c r="J21" s="42"/>
      <c r="K21" s="77"/>
      <c r="L21" s="78"/>
      <c r="M21" s="77"/>
      <c r="N21" s="78"/>
      <c r="O21" s="78"/>
      <c r="P21" s="32"/>
    </row>
    <row r="22" spans="2:16" ht="18" customHeight="1" x14ac:dyDescent="0.2">
      <c r="B22" s="45"/>
      <c r="C22" s="38"/>
      <c r="D22" s="29"/>
      <c r="E22" s="77"/>
      <c r="F22" s="78"/>
      <c r="G22" s="78"/>
      <c r="H22" s="28"/>
      <c r="I22" s="38"/>
      <c r="J22" s="42"/>
      <c r="K22" s="77"/>
      <c r="L22" s="78"/>
      <c r="M22" s="77"/>
      <c r="N22" s="78"/>
      <c r="O22" s="78"/>
      <c r="P22" s="32"/>
    </row>
    <row r="23" spans="2:16" ht="18" customHeight="1" x14ac:dyDescent="0.2">
      <c r="B23" s="45"/>
      <c r="C23" s="38"/>
      <c r="D23" s="29"/>
      <c r="E23" s="77"/>
      <c r="F23" s="78"/>
      <c r="G23" s="78"/>
      <c r="H23" s="28"/>
      <c r="I23" s="38"/>
      <c r="J23" s="42"/>
      <c r="K23" s="77"/>
      <c r="L23" s="78"/>
      <c r="M23" s="77"/>
      <c r="N23" s="78"/>
      <c r="O23" s="78"/>
      <c r="P23" s="32"/>
    </row>
    <row r="24" spans="2:16" ht="18" customHeight="1" x14ac:dyDescent="0.2">
      <c r="B24" s="45"/>
      <c r="C24" s="38"/>
      <c r="D24" s="29"/>
      <c r="E24" s="77"/>
      <c r="F24" s="78"/>
      <c r="G24" s="78"/>
      <c r="H24" s="28"/>
      <c r="I24" s="38"/>
      <c r="J24" s="42"/>
      <c r="K24" s="77"/>
      <c r="L24" s="78"/>
      <c r="M24" s="77"/>
      <c r="N24" s="78"/>
      <c r="O24" s="78"/>
      <c r="P24" s="32"/>
    </row>
    <row r="25" spans="2:16" ht="18" customHeight="1" x14ac:dyDescent="0.2">
      <c r="B25" s="45"/>
      <c r="C25" s="38"/>
      <c r="D25" s="29"/>
      <c r="E25" s="77"/>
      <c r="F25" s="78"/>
      <c r="G25" s="78"/>
      <c r="H25" s="28"/>
      <c r="I25" s="38"/>
      <c r="J25" s="42"/>
      <c r="K25" s="77"/>
      <c r="L25" s="78"/>
      <c r="M25" s="77"/>
      <c r="N25" s="78"/>
      <c r="O25" s="78"/>
      <c r="P25" s="32"/>
    </row>
    <row r="26" spans="2:16" ht="18" customHeight="1" x14ac:dyDescent="0.2">
      <c r="B26" s="45"/>
      <c r="C26" s="38"/>
      <c r="D26" s="29"/>
      <c r="E26" s="77"/>
      <c r="F26" s="78"/>
      <c r="G26" s="78"/>
      <c r="H26" s="28"/>
      <c r="I26" s="38"/>
      <c r="J26" s="42"/>
      <c r="K26" s="77"/>
      <c r="L26" s="78"/>
      <c r="M26" s="77"/>
      <c r="N26" s="78"/>
      <c r="O26" s="78"/>
      <c r="P26" s="32"/>
    </row>
    <row r="27" spans="2:16" ht="18" customHeight="1" x14ac:dyDescent="0.2">
      <c r="B27" s="45"/>
      <c r="C27" s="38"/>
      <c r="D27" s="38"/>
      <c r="E27" s="77"/>
      <c r="F27" s="78"/>
      <c r="G27" s="78"/>
      <c r="H27" s="28"/>
      <c r="I27" s="38"/>
      <c r="J27" s="42"/>
      <c r="K27" s="77"/>
      <c r="L27" s="78"/>
      <c r="M27" s="77"/>
      <c r="N27" s="78"/>
      <c r="O27" s="78"/>
      <c r="P27" s="32"/>
    </row>
    <row r="28" spans="2:16" ht="18" customHeight="1" x14ac:dyDescent="0.2">
      <c r="B28" s="45"/>
      <c r="O28" s="13"/>
      <c r="P28" s="32"/>
    </row>
    <row r="29" spans="2:16" ht="18" customHeight="1" x14ac:dyDescent="0.2">
      <c r="B29" s="45"/>
      <c r="O29" s="13"/>
      <c r="P29" s="32"/>
    </row>
    <row r="30" spans="2:16" ht="18" customHeight="1" x14ac:dyDescent="0.2">
      <c r="B30" s="45"/>
      <c r="C30" s="64"/>
      <c r="D30" s="51"/>
      <c r="E30" s="58"/>
      <c r="F30" s="58"/>
      <c r="G30" s="13"/>
      <c r="H30" s="13"/>
      <c r="I30" s="13"/>
      <c r="J30" s="13"/>
      <c r="K30" s="13"/>
      <c r="L30" s="13"/>
      <c r="M30" s="13"/>
      <c r="N30" s="13"/>
      <c r="O30" s="13"/>
      <c r="P30" s="32"/>
    </row>
    <row r="31" spans="2:16" ht="18" customHeight="1" x14ac:dyDescent="0.2">
      <c r="B31" s="45"/>
      <c r="D31" s="51"/>
      <c r="E31" s="58"/>
      <c r="F31" s="58"/>
      <c r="G31" s="13"/>
      <c r="H31" s="13"/>
      <c r="I31" s="13"/>
      <c r="J31" s="13"/>
      <c r="K31" s="13"/>
      <c r="L31" s="13"/>
      <c r="M31" s="13"/>
      <c r="N31" s="13"/>
      <c r="O31" s="13"/>
      <c r="P31" s="32"/>
    </row>
    <row r="32" spans="2:16" ht="18" customHeight="1" x14ac:dyDescent="0.25">
      <c r="B32" s="45"/>
      <c r="C32" s="15"/>
      <c r="D32" s="67"/>
      <c r="E32" s="67"/>
      <c r="F32" s="67"/>
      <c r="G32" s="67"/>
      <c r="H32" s="67"/>
      <c r="I32" s="67"/>
      <c r="J32" s="67"/>
      <c r="K32" s="13"/>
      <c r="L32" s="13"/>
      <c r="M32" s="13"/>
      <c r="N32" s="13"/>
      <c r="O32" s="13"/>
      <c r="P32" s="32"/>
    </row>
    <row r="33" spans="1:16" ht="18" customHeight="1" x14ac:dyDescent="0.2">
      <c r="B33" s="45"/>
      <c r="C33" s="67"/>
      <c r="D33" s="67"/>
      <c r="E33" s="58"/>
      <c r="F33" s="58"/>
      <c r="G33" s="13"/>
      <c r="H33" s="13"/>
      <c r="I33" s="13"/>
      <c r="J33" s="13"/>
      <c r="K33" s="13"/>
      <c r="L33" s="13"/>
      <c r="M33" s="13"/>
      <c r="N33" s="13"/>
      <c r="O33" s="13"/>
      <c r="P33" s="32"/>
    </row>
    <row r="34" spans="1:16" ht="18" customHeight="1" x14ac:dyDescent="0.2">
      <c r="B34" s="45"/>
      <c r="D34" s="43"/>
      <c r="E34" s="67"/>
      <c r="F34" s="67"/>
      <c r="G34" s="67"/>
      <c r="H34" s="67"/>
      <c r="I34" s="67"/>
      <c r="J34" s="67"/>
      <c r="K34" s="13"/>
      <c r="L34" s="13"/>
      <c r="M34" s="13"/>
      <c r="N34" s="13"/>
      <c r="O34" s="13"/>
      <c r="P34" s="32"/>
    </row>
    <row r="35" spans="1:16" ht="18" customHeight="1" x14ac:dyDescent="0.2">
      <c r="B35" s="45"/>
      <c r="D35" s="64"/>
      <c r="E35" s="67"/>
      <c r="F35" s="67"/>
      <c r="G35" s="5"/>
      <c r="H35" s="5"/>
      <c r="I35" s="62"/>
      <c r="J35" s="31"/>
      <c r="K35" s="13"/>
      <c r="L35" s="13"/>
      <c r="M35" s="13"/>
      <c r="N35" s="13"/>
      <c r="O35" s="13"/>
      <c r="P35" s="32"/>
    </row>
    <row r="36" spans="1:16" ht="18" customHeight="1" x14ac:dyDescent="0.2">
      <c r="B36" s="45"/>
      <c r="D36" s="64"/>
      <c r="E36" s="67"/>
      <c r="F36" s="67"/>
      <c r="G36" s="67"/>
      <c r="H36" s="67"/>
      <c r="I36" s="67"/>
      <c r="J36" s="67"/>
      <c r="K36" s="13"/>
      <c r="L36" s="13"/>
      <c r="M36" s="13"/>
      <c r="N36" s="13"/>
      <c r="O36" s="13"/>
      <c r="P36" s="32"/>
    </row>
    <row r="37" spans="1:16" ht="18" customHeight="1" x14ac:dyDescent="0.2">
      <c r="B37" s="45"/>
      <c r="C37" s="43" t="s">
        <v>2</v>
      </c>
      <c r="D37" s="51"/>
      <c r="F37" s="58"/>
      <c r="G37" s="67"/>
      <c r="H37" s="67"/>
      <c r="I37" s="67"/>
      <c r="J37" s="67"/>
      <c r="K37" s="13"/>
      <c r="L37" s="13"/>
      <c r="M37" s="13"/>
      <c r="N37" s="13"/>
      <c r="O37" s="13"/>
      <c r="P37" s="32"/>
    </row>
    <row r="38" spans="1:16" ht="18" customHeight="1" x14ac:dyDescent="0.2">
      <c r="B38" s="45"/>
      <c r="C38" s="14"/>
      <c r="D38" s="51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32"/>
    </row>
    <row r="39" spans="1:16" ht="18" customHeight="1" x14ac:dyDescent="0.2">
      <c r="B39" s="45"/>
      <c r="C39" s="27"/>
      <c r="D39" s="51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32"/>
    </row>
    <row r="40" spans="1:16" ht="18" customHeight="1" x14ac:dyDescent="0.2">
      <c r="B40" s="45"/>
      <c r="C40" s="55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32"/>
    </row>
    <row r="41" spans="1:16" ht="18" customHeight="1" thickBot="1" x14ac:dyDescent="0.25">
      <c r="B41" s="45"/>
      <c r="C41" s="27"/>
      <c r="D41" s="51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32"/>
    </row>
    <row r="42" spans="1:16" ht="18" customHeight="1" x14ac:dyDescent="0.2">
      <c r="A42" s="79"/>
      <c r="B42" s="1"/>
      <c r="C42" s="81"/>
      <c r="D42" s="81"/>
      <c r="E42" s="81"/>
      <c r="F42" s="81"/>
      <c r="G42" s="82"/>
      <c r="H42" s="82"/>
      <c r="I42" s="83"/>
      <c r="J42" s="84"/>
      <c r="K42" s="85"/>
      <c r="L42" s="86"/>
      <c r="M42" s="85"/>
      <c r="N42" s="86"/>
      <c r="O42" s="85"/>
      <c r="P42" s="107"/>
    </row>
    <row r="43" spans="1:16" ht="18" customHeight="1" x14ac:dyDescent="0.2">
      <c r="A43" s="80"/>
      <c r="B43" s="68"/>
      <c r="C43" s="87"/>
      <c r="D43" s="87"/>
      <c r="E43" s="87"/>
      <c r="F43" s="87"/>
      <c r="G43" s="88"/>
      <c r="H43" s="88"/>
      <c r="I43" s="105"/>
      <c r="J43" s="90"/>
      <c r="K43" s="91"/>
      <c r="L43" s="92"/>
      <c r="M43" s="91"/>
      <c r="N43" s="92"/>
      <c r="O43" s="91"/>
      <c r="P43" s="108"/>
    </row>
    <row r="44" spans="1:16" ht="18" customHeight="1" x14ac:dyDescent="0.2">
      <c r="A44" s="80"/>
      <c r="B44" s="68"/>
      <c r="C44" s="87"/>
      <c r="D44" s="87"/>
      <c r="E44" s="87"/>
      <c r="F44" s="87"/>
      <c r="G44" s="87"/>
      <c r="H44" s="88"/>
      <c r="I44" s="89"/>
      <c r="J44" s="90"/>
      <c r="K44" s="91"/>
      <c r="L44" s="92"/>
      <c r="M44" s="91"/>
      <c r="N44" s="92"/>
      <c r="O44" s="91"/>
      <c r="P44" s="108"/>
    </row>
    <row r="45" spans="1:16" ht="18" customHeight="1" x14ac:dyDescent="0.2">
      <c r="A45" s="80"/>
      <c r="B45" s="8"/>
      <c r="C45" s="87"/>
      <c r="D45" s="87"/>
      <c r="E45" s="87"/>
      <c r="F45" s="87"/>
      <c r="G45" s="88"/>
      <c r="H45" s="88"/>
      <c r="I45" s="105"/>
      <c r="J45" s="90"/>
      <c r="K45" s="91"/>
      <c r="L45" s="92"/>
      <c r="M45" s="91"/>
      <c r="N45" s="92"/>
      <c r="O45" s="91"/>
      <c r="P45" s="108"/>
    </row>
    <row r="46" spans="1:16" ht="18" customHeight="1" x14ac:dyDescent="0.2">
      <c r="A46" s="80"/>
      <c r="B46" s="8"/>
      <c r="C46" s="87"/>
      <c r="D46" s="87"/>
      <c r="E46" s="87"/>
      <c r="F46" s="87"/>
      <c r="G46" s="88"/>
      <c r="H46" s="88"/>
      <c r="I46" s="105"/>
      <c r="J46" s="90"/>
      <c r="K46" s="106"/>
      <c r="L46" s="92"/>
      <c r="M46" s="106"/>
      <c r="N46" s="92"/>
      <c r="O46" s="106"/>
      <c r="P46" s="108"/>
    </row>
    <row r="47" spans="1:16" ht="18" customHeight="1" x14ac:dyDescent="0.2">
      <c r="A47" s="80"/>
      <c r="B47" s="30" t="s">
        <v>9</v>
      </c>
      <c r="C47" s="60" t="s">
        <v>12</v>
      </c>
      <c r="D47" s="60"/>
      <c r="E47" s="60"/>
      <c r="F47" s="47"/>
      <c r="G47" s="109" t="s">
        <v>20</v>
      </c>
      <c r="H47" s="110"/>
      <c r="I47" s="109" t="s">
        <v>8</v>
      </c>
      <c r="J47" s="110"/>
      <c r="K47" s="109" t="s">
        <v>24</v>
      </c>
      <c r="L47" s="110"/>
      <c r="M47" s="109" t="s">
        <v>21</v>
      </c>
      <c r="N47" s="110"/>
      <c r="O47" s="109" t="s">
        <v>1</v>
      </c>
      <c r="P47" s="111"/>
    </row>
    <row r="48" spans="1:16" ht="18" customHeight="1" thickBot="1" x14ac:dyDescent="0.25">
      <c r="A48" s="80"/>
      <c r="B48" s="23" t="s">
        <v>27</v>
      </c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17"/>
    </row>
    <row r="49" spans="1:20" ht="18" customHeight="1" thickTop="1" x14ac:dyDescent="0.25">
      <c r="A49" s="80"/>
      <c r="B49" s="93" t="s">
        <v>3</v>
      </c>
      <c r="C49" s="94"/>
      <c r="D49" s="94"/>
      <c r="E49" s="95"/>
      <c r="F49" s="11"/>
      <c r="G49" s="3"/>
      <c r="H49" s="3"/>
      <c r="I49" s="3"/>
      <c r="J49" s="3"/>
      <c r="K49" s="3"/>
      <c r="L49" s="3"/>
      <c r="M49" s="3"/>
      <c r="N49" s="3"/>
      <c r="O49" s="3"/>
      <c r="P49" s="34"/>
      <c r="T49" s="25"/>
    </row>
    <row r="50" spans="1:20" ht="18" customHeight="1" x14ac:dyDescent="0.2">
      <c r="A50" s="80"/>
      <c r="B50" s="96"/>
      <c r="C50" s="97"/>
      <c r="D50" s="97"/>
      <c r="E50" s="98"/>
      <c r="F50" s="102"/>
      <c r="G50" s="103"/>
      <c r="H50" s="103"/>
      <c r="I50" s="103"/>
      <c r="J50" s="103"/>
      <c r="K50" s="103"/>
      <c r="L50" s="103"/>
      <c r="M50" s="103"/>
      <c r="N50" s="103"/>
      <c r="O50" s="103"/>
      <c r="P50" s="104"/>
    </row>
    <row r="51" spans="1:20" ht="18" customHeight="1" thickBot="1" x14ac:dyDescent="0.25">
      <c r="A51" s="80"/>
      <c r="B51" s="99"/>
      <c r="C51" s="100"/>
      <c r="D51" s="100"/>
      <c r="E51" s="101"/>
      <c r="F51" s="102"/>
      <c r="G51" s="103"/>
      <c r="H51" s="103"/>
      <c r="I51" s="103"/>
      <c r="J51" s="103"/>
      <c r="K51" s="103"/>
      <c r="L51" s="103"/>
      <c r="M51" s="103"/>
      <c r="N51" s="103"/>
      <c r="O51" s="103"/>
      <c r="P51" s="104"/>
    </row>
    <row r="52" spans="1:20" ht="15" customHeight="1" thickTop="1" x14ac:dyDescent="0.2">
      <c r="A52" s="80"/>
      <c r="B52" s="6"/>
      <c r="C52" s="112" t="s">
        <v>19</v>
      </c>
      <c r="D52" s="113"/>
      <c r="E52" s="116" t="s">
        <v>20</v>
      </c>
      <c r="F52" s="33"/>
      <c r="G52" s="67"/>
      <c r="H52" s="67"/>
      <c r="I52" s="67"/>
      <c r="J52" s="67"/>
      <c r="K52" s="67"/>
      <c r="L52" s="67"/>
      <c r="M52" s="67"/>
      <c r="N52" s="67"/>
      <c r="O52" s="67"/>
      <c r="P52" s="46"/>
    </row>
    <row r="53" spans="1:20" ht="15" customHeight="1" x14ac:dyDescent="0.2">
      <c r="A53" s="80"/>
      <c r="B53" s="50"/>
      <c r="C53" s="114"/>
      <c r="D53" s="115"/>
      <c r="E53" s="117"/>
      <c r="F53" s="102" t="s">
        <v>32</v>
      </c>
      <c r="G53" s="103"/>
      <c r="H53" s="103"/>
      <c r="I53" s="103"/>
      <c r="J53" s="103"/>
      <c r="K53" s="103"/>
      <c r="L53" s="103"/>
      <c r="M53" s="103"/>
      <c r="N53" s="103"/>
      <c r="O53" s="103"/>
      <c r="P53" s="104"/>
    </row>
    <row r="54" spans="1:20" ht="15" customHeight="1" x14ac:dyDescent="0.2">
      <c r="A54" s="80"/>
      <c r="B54" s="118" t="s">
        <v>8</v>
      </c>
      <c r="C54" s="120" t="s">
        <v>28</v>
      </c>
      <c r="D54" s="121"/>
      <c r="E54" s="124" t="s">
        <v>13</v>
      </c>
      <c r="F54" s="102"/>
      <c r="G54" s="103"/>
      <c r="H54" s="103"/>
      <c r="I54" s="103"/>
      <c r="J54" s="103"/>
      <c r="K54" s="103"/>
      <c r="L54" s="103"/>
      <c r="M54" s="103"/>
      <c r="N54" s="103"/>
      <c r="O54" s="103"/>
      <c r="P54" s="104"/>
    </row>
    <row r="55" spans="1:20" ht="15" customHeight="1" x14ac:dyDescent="0.2">
      <c r="A55" s="80"/>
      <c r="B55" s="119"/>
      <c r="C55" s="122"/>
      <c r="D55" s="123"/>
      <c r="E55" s="125"/>
      <c r="F55" s="102"/>
      <c r="G55" s="103"/>
      <c r="H55" s="103"/>
      <c r="I55" s="103"/>
      <c r="J55" s="103"/>
      <c r="K55" s="103"/>
      <c r="L55" s="103"/>
      <c r="M55" s="103"/>
      <c r="N55" s="103"/>
      <c r="O55" s="103"/>
      <c r="P55" s="104"/>
    </row>
    <row r="56" spans="1:20" ht="15" customHeight="1" x14ac:dyDescent="0.2">
      <c r="A56" s="80"/>
      <c r="B56" s="118" t="s">
        <v>24</v>
      </c>
      <c r="C56" s="120" t="s">
        <v>25</v>
      </c>
      <c r="D56" s="121"/>
      <c r="E56" s="124" t="s">
        <v>13</v>
      </c>
      <c r="F56" s="102"/>
      <c r="G56" s="103"/>
      <c r="H56" s="103"/>
      <c r="I56" s="103"/>
      <c r="J56" s="103"/>
      <c r="K56" s="103"/>
      <c r="L56" s="103"/>
      <c r="M56" s="103"/>
      <c r="N56" s="103"/>
      <c r="O56" s="103"/>
      <c r="P56" s="104"/>
    </row>
    <row r="57" spans="1:20" ht="15" customHeight="1" x14ac:dyDescent="0.2">
      <c r="A57" s="80"/>
      <c r="B57" s="119"/>
      <c r="C57" s="122"/>
      <c r="D57" s="123"/>
      <c r="E57" s="125"/>
      <c r="F57" s="12"/>
      <c r="G57" s="41"/>
      <c r="H57" s="41"/>
      <c r="I57" s="41"/>
      <c r="J57" s="41"/>
      <c r="K57" s="41"/>
      <c r="L57" s="41"/>
      <c r="M57" s="41"/>
      <c r="N57" s="41"/>
      <c r="O57" s="41"/>
      <c r="P57" s="35"/>
    </row>
    <row r="58" spans="1:20" ht="15" customHeight="1" x14ac:dyDescent="0.2">
      <c r="A58" s="80"/>
      <c r="B58" s="118" t="s">
        <v>21</v>
      </c>
      <c r="C58" s="120" t="s">
        <v>11</v>
      </c>
      <c r="D58" s="121"/>
      <c r="E58" s="124" t="s">
        <v>13</v>
      </c>
      <c r="F58" s="126"/>
      <c r="G58" s="127"/>
      <c r="H58" s="127"/>
      <c r="I58" s="127"/>
      <c r="J58" s="127"/>
      <c r="K58" s="127"/>
      <c r="L58" s="127"/>
      <c r="M58" s="127"/>
      <c r="N58" s="127"/>
      <c r="O58" s="127"/>
      <c r="P58" s="128"/>
    </row>
    <row r="59" spans="1:20" ht="15" customHeight="1" x14ac:dyDescent="0.2">
      <c r="A59" s="80"/>
      <c r="B59" s="119"/>
      <c r="C59" s="122"/>
      <c r="D59" s="123"/>
      <c r="E59" s="125"/>
      <c r="F59" s="56"/>
      <c r="G59" s="53"/>
      <c r="H59" s="53"/>
      <c r="I59" s="53"/>
      <c r="J59" s="53"/>
      <c r="K59" s="53"/>
      <c r="L59" s="53"/>
      <c r="M59" s="53"/>
      <c r="N59" s="53"/>
      <c r="O59" s="53"/>
      <c r="P59" s="18"/>
    </row>
    <row r="60" spans="1:20" ht="15" customHeight="1" x14ac:dyDescent="0.2">
      <c r="A60" s="80"/>
      <c r="B60" s="118" t="s">
        <v>1</v>
      </c>
      <c r="C60" s="120" t="s">
        <v>4</v>
      </c>
      <c r="D60" s="121"/>
      <c r="E60" s="124" t="s">
        <v>13</v>
      </c>
      <c r="F60" s="126"/>
      <c r="G60" s="127"/>
      <c r="H60" s="127"/>
      <c r="I60" s="127"/>
      <c r="J60" s="127"/>
      <c r="K60" s="127"/>
      <c r="L60" s="127"/>
      <c r="M60" s="127"/>
      <c r="N60" s="127"/>
      <c r="O60" s="127"/>
      <c r="P60" s="128"/>
    </row>
    <row r="61" spans="1:20" ht="15" customHeight="1" thickBot="1" x14ac:dyDescent="0.25">
      <c r="A61" s="80"/>
      <c r="B61" s="129"/>
      <c r="C61" s="130"/>
      <c r="D61" s="131"/>
      <c r="E61" s="125"/>
      <c r="F61" s="21"/>
      <c r="G61" s="71"/>
      <c r="H61" s="71"/>
      <c r="I61" s="71"/>
      <c r="J61" s="71"/>
      <c r="K61" s="71"/>
      <c r="L61" s="71"/>
      <c r="M61" s="71"/>
      <c r="N61" s="71"/>
      <c r="O61" s="71"/>
      <c r="P61" s="9"/>
    </row>
    <row r="62" spans="1:20" ht="18" customHeight="1" thickTop="1" x14ac:dyDescent="0.2">
      <c r="A62" s="80"/>
      <c r="B62" s="59" t="s">
        <v>7</v>
      </c>
      <c r="C62" s="72"/>
      <c r="D62" s="39"/>
      <c r="E62" s="24"/>
      <c r="F62" s="48" t="s">
        <v>15</v>
      </c>
      <c r="G62" s="132" t="s">
        <v>10</v>
      </c>
      <c r="H62" s="133"/>
      <c r="I62" s="116"/>
      <c r="J62" s="132" t="s">
        <v>29</v>
      </c>
      <c r="K62" s="133"/>
      <c r="L62" s="133"/>
      <c r="M62" s="133"/>
      <c r="N62" s="116"/>
      <c r="O62" s="132" t="s">
        <v>9</v>
      </c>
      <c r="P62" s="116"/>
    </row>
    <row r="63" spans="1:20" ht="18" customHeight="1" thickBot="1" x14ac:dyDescent="0.25">
      <c r="A63" s="80"/>
      <c r="B63" s="16"/>
      <c r="C63" s="134"/>
      <c r="D63" s="134"/>
      <c r="E63" s="135"/>
      <c r="F63" s="37" t="s">
        <v>23</v>
      </c>
      <c r="G63" s="136" t="s">
        <v>18</v>
      </c>
      <c r="H63" s="137"/>
      <c r="I63" s="138"/>
      <c r="J63" s="139" t="s">
        <v>6</v>
      </c>
      <c r="K63" s="140"/>
      <c r="L63" s="140"/>
      <c r="M63" s="140"/>
      <c r="N63" s="141"/>
      <c r="O63" s="136" t="s">
        <v>22</v>
      </c>
      <c r="P63" s="138"/>
    </row>
    <row r="64" spans="1:20" ht="18" customHeight="1" thickTop="1" x14ac:dyDescent="0.2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G62:I62"/>
    <mergeCell ref="J62:N62"/>
    <mergeCell ref="O62:P62"/>
    <mergeCell ref="C63:E63"/>
    <mergeCell ref="G63:I63"/>
    <mergeCell ref="J63:N63"/>
    <mergeCell ref="O63:P63"/>
    <mergeCell ref="B58:B59"/>
    <mergeCell ref="C58:D59"/>
    <mergeCell ref="E58:E59"/>
    <mergeCell ref="F58:P58"/>
    <mergeCell ref="B60:B61"/>
    <mergeCell ref="C60:D61"/>
    <mergeCell ref="E60:E61"/>
    <mergeCell ref="F60:P60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O46:P46"/>
    <mergeCell ref="G47:H47"/>
    <mergeCell ref="I47:J47"/>
    <mergeCell ref="K47:L47"/>
    <mergeCell ref="M47:N47"/>
    <mergeCell ref="O47:P47"/>
    <mergeCell ref="M44:N44"/>
    <mergeCell ref="O44:P44"/>
    <mergeCell ref="C45:F45"/>
    <mergeCell ref="G45:H45"/>
    <mergeCell ref="I45:J45"/>
    <mergeCell ref="K45:L45"/>
    <mergeCell ref="M45:N45"/>
    <mergeCell ref="O45:P45"/>
    <mergeCell ref="O42:P42"/>
    <mergeCell ref="C43:F43"/>
    <mergeCell ref="G43:H43"/>
    <mergeCell ref="I43:J43"/>
    <mergeCell ref="K43:L43"/>
    <mergeCell ref="M43:N43"/>
    <mergeCell ref="O43:P43"/>
    <mergeCell ref="M42:N42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E26:G26"/>
    <mergeCell ref="K26:L26"/>
    <mergeCell ref="M26:O26"/>
    <mergeCell ref="E27:G27"/>
    <mergeCell ref="K27:L27"/>
    <mergeCell ref="M27:O27"/>
    <mergeCell ref="E24:G24"/>
    <mergeCell ref="K24:L24"/>
    <mergeCell ref="M24:O24"/>
    <mergeCell ref="E25:G25"/>
    <mergeCell ref="K25:L25"/>
    <mergeCell ref="M25:O25"/>
    <mergeCell ref="E22:G22"/>
    <mergeCell ref="K22:L22"/>
    <mergeCell ref="M22:O22"/>
    <mergeCell ref="E23:G23"/>
    <mergeCell ref="K23:L23"/>
    <mergeCell ref="M23:O23"/>
    <mergeCell ref="E20:G20"/>
    <mergeCell ref="K20:L20"/>
    <mergeCell ref="M20:O20"/>
    <mergeCell ref="E21:G21"/>
    <mergeCell ref="K21:L21"/>
    <mergeCell ref="M21:O21"/>
    <mergeCell ref="E18:G18"/>
    <mergeCell ref="K18:L18"/>
    <mergeCell ref="M18:O18"/>
    <mergeCell ref="E19:G19"/>
    <mergeCell ref="K19:L19"/>
    <mergeCell ref="M19:O19"/>
    <mergeCell ref="E17:G17"/>
    <mergeCell ref="K17:L17"/>
    <mergeCell ref="M17:O17"/>
    <mergeCell ref="C16:D16"/>
    <mergeCell ref="E16:G16"/>
    <mergeCell ref="H16:J16"/>
    <mergeCell ref="K16:L16"/>
    <mergeCell ref="M16:O16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otal">
    <pageSetUpPr fitToPage="1"/>
  </sheetPr>
  <dimension ref="A1:AI67"/>
  <sheetViews>
    <sheetView tabSelected="1" zoomScaleNormal="100" zoomScaleSheetLayoutView="100" workbookViewId="0">
      <pane ySplit="3" topLeftCell="A4" activePane="bottomLeft" state="frozen"/>
      <selection pane="bottomLeft" activeCell="A4" sqref="A4"/>
    </sheetView>
  </sheetViews>
  <sheetFormatPr defaultRowHeight="14.45" customHeight="1" x14ac:dyDescent="0.2"/>
  <cols>
    <col min="1" max="1" width="5.5703125" style="66" customWidth="1"/>
    <col min="2" max="2" width="27.140625" style="66" customWidth="1"/>
    <col min="3" max="3" width="32.5703125" style="66" customWidth="1"/>
    <col min="4" max="4" width="37" style="66" bestFit="1" customWidth="1"/>
    <col min="5" max="5" width="22.7109375" style="66" customWidth="1"/>
    <col min="6" max="6" width="20.5703125" style="66" customWidth="1"/>
    <col min="7" max="7" width="22.5703125" style="66" customWidth="1"/>
    <col min="8" max="10" width="10.140625" style="66" customWidth="1"/>
    <col min="11" max="11" width="17.140625" style="66" customWidth="1"/>
    <col min="12" max="12" width="28.5703125" style="66" customWidth="1"/>
    <col min="13" max="13" width="21.7109375" style="66" customWidth="1"/>
    <col min="14" max="14" width="6.5703125" style="66" customWidth="1"/>
    <col min="15" max="15" width="28.5703125" style="66" customWidth="1"/>
  </cols>
  <sheetData>
    <row r="1" spans="1:35" ht="14.45" customHeight="1" x14ac:dyDescent="0.2">
      <c r="C1" s="54"/>
    </row>
    <row r="2" spans="1:35" s="19" customFormat="1" ht="25.9" customHeight="1" x14ac:dyDescent="0.25">
      <c r="A2" s="142"/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49"/>
      <c r="N2" s="44"/>
      <c r="O2" s="22"/>
      <c r="P2" s="22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</row>
    <row r="3" spans="1:35" ht="36" customHeight="1" thickBot="1" x14ac:dyDescent="0.25">
      <c r="A3" s="65" t="s">
        <v>14</v>
      </c>
      <c r="B3" s="65" t="s">
        <v>0</v>
      </c>
      <c r="C3" s="65" t="s">
        <v>30</v>
      </c>
      <c r="D3" s="65" t="s">
        <v>5</v>
      </c>
      <c r="E3" s="65" t="s">
        <v>26</v>
      </c>
      <c r="F3" s="65" t="s">
        <v>31</v>
      </c>
      <c r="G3" s="65" t="s">
        <v>16</v>
      </c>
      <c r="H3" s="65" t="s">
        <v>35</v>
      </c>
      <c r="I3" s="65" t="s">
        <v>36</v>
      </c>
      <c r="J3" s="65" t="s">
        <v>33</v>
      </c>
      <c r="K3" s="65" t="s">
        <v>34</v>
      </c>
      <c r="L3" s="65" t="s">
        <v>17</v>
      </c>
    </row>
    <row r="4" spans="1:35" ht="14.45" customHeight="1" thickBot="1" x14ac:dyDescent="0.25">
      <c r="A4" s="143" t="s">
        <v>37</v>
      </c>
      <c r="B4" s="144" t="s">
        <v>212</v>
      </c>
      <c r="C4" s="144" t="s">
        <v>213</v>
      </c>
      <c r="D4" s="144" t="s">
        <v>214</v>
      </c>
      <c r="E4" s="144"/>
      <c r="F4" s="144" t="s">
        <v>215</v>
      </c>
      <c r="G4" s="144"/>
      <c r="H4" s="144" t="s">
        <v>60</v>
      </c>
      <c r="I4" s="144" t="s">
        <v>314</v>
      </c>
      <c r="J4" s="144">
        <f>I4-H4</f>
        <v>-5</v>
      </c>
      <c r="K4" s="144"/>
      <c r="L4" s="145"/>
    </row>
    <row r="5" spans="1:35" ht="14.45" customHeight="1" thickBot="1" x14ac:dyDescent="0.25">
      <c r="A5" s="143" t="s">
        <v>41</v>
      </c>
      <c r="B5" s="144" t="s">
        <v>212</v>
      </c>
      <c r="C5" s="144" t="s">
        <v>217</v>
      </c>
      <c r="D5" s="144" t="s">
        <v>214</v>
      </c>
      <c r="E5" s="144"/>
      <c r="F5" s="144" t="s">
        <v>215</v>
      </c>
      <c r="G5" s="144"/>
      <c r="H5" s="144" t="s">
        <v>189</v>
      </c>
      <c r="I5" s="144" t="s">
        <v>314</v>
      </c>
      <c r="J5" s="144">
        <f>I5-H5</f>
        <v>-31</v>
      </c>
      <c r="K5" s="144"/>
      <c r="L5" s="145"/>
    </row>
    <row r="6" spans="1:35" ht="14.45" customHeight="1" thickBot="1" x14ac:dyDescent="0.25">
      <c r="A6" s="143" t="s">
        <v>48</v>
      </c>
      <c r="B6" s="144" t="s">
        <v>42</v>
      </c>
      <c r="C6" s="144" t="s">
        <v>43</v>
      </c>
      <c r="D6" s="144" t="s">
        <v>44</v>
      </c>
      <c r="E6" s="144" t="s">
        <v>45</v>
      </c>
      <c r="F6" s="144" t="s">
        <v>46</v>
      </c>
      <c r="G6" s="144" t="s">
        <v>47</v>
      </c>
      <c r="H6" s="144" t="s">
        <v>149</v>
      </c>
      <c r="I6" s="144" t="s">
        <v>314</v>
      </c>
      <c r="J6" s="144">
        <f>I6-H6</f>
        <v>-23</v>
      </c>
      <c r="K6" s="144"/>
      <c r="L6" s="145"/>
    </row>
    <row r="7" spans="1:35" ht="14.45" customHeight="1" thickBot="1" x14ac:dyDescent="0.25">
      <c r="A7" s="143" t="s">
        <v>54</v>
      </c>
      <c r="B7" s="144" t="s">
        <v>49</v>
      </c>
      <c r="C7" s="144" t="s">
        <v>50</v>
      </c>
      <c r="D7" s="144" t="s">
        <v>104</v>
      </c>
      <c r="E7" s="144" t="s">
        <v>52</v>
      </c>
      <c r="F7" s="144" t="s">
        <v>46</v>
      </c>
      <c r="G7" s="144" t="s">
        <v>270</v>
      </c>
      <c r="H7" s="144" t="s">
        <v>249</v>
      </c>
      <c r="I7" s="144" t="s">
        <v>314</v>
      </c>
      <c r="J7" s="144">
        <f>I7-H7</f>
        <v>-42</v>
      </c>
      <c r="K7" s="144"/>
      <c r="L7" s="145"/>
    </row>
    <row r="8" spans="1:35" ht="14.45" customHeight="1" thickBot="1" x14ac:dyDescent="0.25">
      <c r="A8" s="143" t="s">
        <v>60</v>
      </c>
      <c r="B8" s="144" t="s">
        <v>49</v>
      </c>
      <c r="C8" s="144" t="s">
        <v>50</v>
      </c>
      <c r="D8" s="144" t="s">
        <v>51</v>
      </c>
      <c r="E8" s="144" t="s">
        <v>52</v>
      </c>
      <c r="F8" s="144" t="s">
        <v>46</v>
      </c>
      <c r="G8" s="144" t="s">
        <v>53</v>
      </c>
      <c r="H8" s="144" t="s">
        <v>110</v>
      </c>
      <c r="I8" s="144" t="s">
        <v>314</v>
      </c>
      <c r="J8" s="144">
        <f>I8-H8</f>
        <v>-15</v>
      </c>
      <c r="K8" s="144"/>
      <c r="L8" s="145"/>
    </row>
    <row r="9" spans="1:35" ht="14.45" customHeight="1" thickBot="1" x14ac:dyDescent="0.25">
      <c r="A9" s="143" t="s">
        <v>64</v>
      </c>
      <c r="B9" s="144" t="s">
        <v>49</v>
      </c>
      <c r="C9" s="144" t="s">
        <v>55</v>
      </c>
      <c r="D9" s="144" t="s">
        <v>104</v>
      </c>
      <c r="E9" s="144" t="s">
        <v>57</v>
      </c>
      <c r="F9" s="144" t="s">
        <v>46</v>
      </c>
      <c r="G9" s="144" t="s">
        <v>271</v>
      </c>
      <c r="H9" s="144" t="s">
        <v>54</v>
      </c>
      <c r="I9" s="144" t="s">
        <v>314</v>
      </c>
      <c r="J9" s="144">
        <f>I9-H9</f>
        <v>-4</v>
      </c>
      <c r="K9" s="144"/>
      <c r="L9" s="145"/>
    </row>
    <row r="10" spans="1:35" ht="14.45" customHeight="1" thickBot="1" x14ac:dyDescent="0.25">
      <c r="A10" s="143" t="s">
        <v>69</v>
      </c>
      <c r="B10" s="144" t="s">
        <v>49</v>
      </c>
      <c r="C10" s="144" t="s">
        <v>55</v>
      </c>
      <c r="D10" s="144" t="s">
        <v>56</v>
      </c>
      <c r="E10" s="144" t="s">
        <v>57</v>
      </c>
      <c r="F10" s="144" t="s">
        <v>46</v>
      </c>
      <c r="G10" s="144" t="s">
        <v>58</v>
      </c>
      <c r="H10" s="144" t="s">
        <v>315</v>
      </c>
      <c r="I10" s="144" t="s">
        <v>314</v>
      </c>
      <c r="J10" s="144">
        <f>I10-H10</f>
        <v>-79</v>
      </c>
      <c r="K10" s="144"/>
      <c r="L10" s="145"/>
    </row>
    <row r="11" spans="1:35" ht="14.45" customHeight="1" thickBot="1" x14ac:dyDescent="0.25">
      <c r="A11" s="143" t="s">
        <v>74</v>
      </c>
      <c r="B11" s="144" t="s">
        <v>49</v>
      </c>
      <c r="C11" s="144" t="s">
        <v>61</v>
      </c>
      <c r="D11" s="144" t="s">
        <v>104</v>
      </c>
      <c r="E11" s="144" t="s">
        <v>62</v>
      </c>
      <c r="F11" s="144" t="s">
        <v>46</v>
      </c>
      <c r="G11" s="144" t="s">
        <v>272</v>
      </c>
      <c r="H11" s="144" t="s">
        <v>54</v>
      </c>
      <c r="I11" s="144" t="s">
        <v>314</v>
      </c>
      <c r="J11" s="144">
        <f>I11-H11</f>
        <v>-4</v>
      </c>
      <c r="K11" s="144"/>
      <c r="L11" s="145"/>
    </row>
    <row r="12" spans="1:35" ht="14.45" customHeight="1" thickBot="1" x14ac:dyDescent="0.25">
      <c r="A12" s="143" t="s">
        <v>80</v>
      </c>
      <c r="B12" s="144" t="s">
        <v>49</v>
      </c>
      <c r="C12" s="144" t="s">
        <v>61</v>
      </c>
      <c r="D12" s="144" t="s">
        <v>56</v>
      </c>
      <c r="E12" s="144" t="s">
        <v>62</v>
      </c>
      <c r="F12" s="144" t="s">
        <v>46</v>
      </c>
      <c r="G12" s="144" t="s">
        <v>63</v>
      </c>
      <c r="H12" s="144" t="s">
        <v>85</v>
      </c>
      <c r="I12" s="144" t="s">
        <v>314</v>
      </c>
      <c r="J12" s="144">
        <f>I12-H12</f>
        <v>-10</v>
      </c>
      <c r="K12" s="144"/>
      <c r="L12" s="145"/>
    </row>
    <row r="13" spans="1:35" ht="14.45" customHeight="1" thickBot="1" x14ac:dyDescent="0.25">
      <c r="A13" s="143" t="s">
        <v>85</v>
      </c>
      <c r="B13" s="144" t="s">
        <v>65</v>
      </c>
      <c r="C13" s="144" t="s">
        <v>242</v>
      </c>
      <c r="D13" s="144" t="s">
        <v>243</v>
      </c>
      <c r="E13" s="144"/>
      <c r="F13" s="144" t="s">
        <v>244</v>
      </c>
      <c r="G13" s="144" t="s">
        <v>245</v>
      </c>
      <c r="H13" s="144" t="s">
        <v>37</v>
      </c>
      <c r="I13" s="144" t="s">
        <v>314</v>
      </c>
      <c r="J13" s="144">
        <f>I13-H13</f>
        <v>-1</v>
      </c>
      <c r="K13" s="144"/>
      <c r="L13" s="145"/>
    </row>
    <row r="14" spans="1:35" ht="14.45" customHeight="1" thickBot="1" x14ac:dyDescent="0.25">
      <c r="A14" s="143" t="s">
        <v>89</v>
      </c>
      <c r="B14" s="144" t="s">
        <v>65</v>
      </c>
      <c r="C14" s="144" t="s">
        <v>66</v>
      </c>
      <c r="D14" s="144" t="s">
        <v>67</v>
      </c>
      <c r="E14" s="144" t="s">
        <v>52</v>
      </c>
      <c r="F14" s="144" t="s">
        <v>46</v>
      </c>
      <c r="G14" s="144" t="s">
        <v>68</v>
      </c>
      <c r="H14" s="144" t="s">
        <v>85</v>
      </c>
      <c r="I14" s="144" t="s">
        <v>314</v>
      </c>
      <c r="J14" s="144">
        <f>I14-H14</f>
        <v>-10</v>
      </c>
      <c r="K14" s="144"/>
      <c r="L14" s="145"/>
    </row>
    <row r="15" spans="1:35" ht="14.45" customHeight="1" thickBot="1" x14ac:dyDescent="0.25">
      <c r="A15" s="143" t="s">
        <v>95</v>
      </c>
      <c r="B15" s="144" t="s">
        <v>65</v>
      </c>
      <c r="C15" s="144" t="s">
        <v>66</v>
      </c>
      <c r="D15" s="144" t="s">
        <v>251</v>
      </c>
      <c r="E15" s="144" t="s">
        <v>62</v>
      </c>
      <c r="F15" s="144" t="s">
        <v>46</v>
      </c>
      <c r="G15" s="144" t="s">
        <v>252</v>
      </c>
      <c r="H15" s="144" t="s">
        <v>41</v>
      </c>
      <c r="I15" s="144" t="s">
        <v>314</v>
      </c>
      <c r="J15" s="144">
        <f>I15-H15</f>
        <v>-2</v>
      </c>
      <c r="K15" s="144"/>
      <c r="L15" s="145"/>
    </row>
    <row r="16" spans="1:35" ht="14.45" customHeight="1" thickBot="1" x14ac:dyDescent="0.25">
      <c r="A16" s="143" t="s">
        <v>101</v>
      </c>
      <c r="B16" s="144" t="s">
        <v>65</v>
      </c>
      <c r="C16" s="144" t="s">
        <v>273</v>
      </c>
      <c r="D16" s="144" t="s">
        <v>67</v>
      </c>
      <c r="E16" s="144" t="s">
        <v>274</v>
      </c>
      <c r="F16" s="144" t="s">
        <v>46</v>
      </c>
      <c r="G16" s="144" t="s">
        <v>275</v>
      </c>
      <c r="H16" s="144" t="s">
        <v>54</v>
      </c>
      <c r="I16" s="144" t="s">
        <v>314</v>
      </c>
      <c r="J16" s="144">
        <f>I16-H16</f>
        <v>-4</v>
      </c>
      <c r="K16" s="144"/>
      <c r="L16" s="145"/>
    </row>
    <row r="17" spans="1:12" ht="14.45" customHeight="1" thickBot="1" x14ac:dyDescent="0.25">
      <c r="A17" s="143" t="s">
        <v>59</v>
      </c>
      <c r="B17" s="144" t="s">
        <v>160</v>
      </c>
      <c r="C17" s="144" t="s">
        <v>161</v>
      </c>
      <c r="D17" s="144"/>
      <c r="E17" s="144"/>
      <c r="F17" s="144" t="s">
        <v>162</v>
      </c>
      <c r="G17" s="144" t="s">
        <v>163</v>
      </c>
      <c r="H17" s="144" t="s">
        <v>316</v>
      </c>
      <c r="I17" s="144" t="s">
        <v>314</v>
      </c>
      <c r="J17" s="144">
        <f>I17-H17</f>
        <v>-378</v>
      </c>
      <c r="K17" s="144"/>
      <c r="L17" s="145"/>
    </row>
    <row r="18" spans="1:12" ht="14.45" customHeight="1" thickBot="1" x14ac:dyDescent="0.25">
      <c r="A18" s="143" t="s">
        <v>110</v>
      </c>
      <c r="B18" s="144" t="s">
        <v>166</v>
      </c>
      <c r="C18" s="144" t="s">
        <v>167</v>
      </c>
      <c r="D18" s="144"/>
      <c r="E18" s="144"/>
      <c r="F18" s="144" t="s">
        <v>162</v>
      </c>
      <c r="G18" s="144" t="s">
        <v>168</v>
      </c>
      <c r="H18" s="144" t="s">
        <v>317</v>
      </c>
      <c r="I18" s="144" t="s">
        <v>314</v>
      </c>
      <c r="J18" s="144">
        <f>I18-H18</f>
        <v>-1038</v>
      </c>
      <c r="K18" s="144"/>
      <c r="L18" s="145"/>
    </row>
    <row r="19" spans="1:12" ht="14.45" customHeight="1" thickBot="1" x14ac:dyDescent="0.25">
      <c r="A19" s="143" t="s">
        <v>116</v>
      </c>
      <c r="B19" s="144" t="s">
        <v>297</v>
      </c>
      <c r="C19" s="144" t="s">
        <v>167</v>
      </c>
      <c r="D19" s="144"/>
      <c r="E19" s="144"/>
      <c r="F19" s="144" t="s">
        <v>162</v>
      </c>
      <c r="G19" s="144" t="s">
        <v>168</v>
      </c>
      <c r="H19" s="144" t="s">
        <v>265</v>
      </c>
      <c r="I19" s="144" t="s">
        <v>314</v>
      </c>
      <c r="J19" s="144">
        <f>I19-H19</f>
        <v>-240</v>
      </c>
      <c r="K19" s="144"/>
      <c r="L19" s="145"/>
    </row>
    <row r="20" spans="1:12" ht="14.45" customHeight="1" thickBot="1" x14ac:dyDescent="0.25">
      <c r="A20" s="143" t="s">
        <v>120</v>
      </c>
      <c r="B20" s="144" t="s">
        <v>171</v>
      </c>
      <c r="C20" s="144" t="s">
        <v>172</v>
      </c>
      <c r="D20" s="144"/>
      <c r="E20" s="144"/>
      <c r="F20" s="144" t="s">
        <v>162</v>
      </c>
      <c r="G20" s="144" t="s">
        <v>173</v>
      </c>
      <c r="H20" s="144" t="s">
        <v>318</v>
      </c>
      <c r="I20" s="144" t="s">
        <v>314</v>
      </c>
      <c r="J20" s="144">
        <f>I20-H20</f>
        <v>-1336</v>
      </c>
      <c r="K20" s="144"/>
      <c r="L20" s="145"/>
    </row>
    <row r="21" spans="1:12" ht="14.45" customHeight="1" thickBot="1" x14ac:dyDescent="0.25">
      <c r="A21" s="143" t="s">
        <v>123</v>
      </c>
      <c r="B21" s="144" t="s">
        <v>176</v>
      </c>
      <c r="C21" s="144" t="s">
        <v>177</v>
      </c>
      <c r="D21" s="144"/>
      <c r="E21" s="144"/>
      <c r="F21" s="144" t="s">
        <v>162</v>
      </c>
      <c r="G21" s="144" t="s">
        <v>178</v>
      </c>
      <c r="H21" s="144" t="s">
        <v>306</v>
      </c>
      <c r="I21" s="144" t="s">
        <v>314</v>
      </c>
      <c r="J21" s="144">
        <f>I21-H21</f>
        <v>-288</v>
      </c>
      <c r="K21" s="144"/>
      <c r="L21" s="145"/>
    </row>
    <row r="22" spans="1:12" ht="14.45" customHeight="1" thickBot="1" x14ac:dyDescent="0.25">
      <c r="A22" s="143" t="s">
        <v>128</v>
      </c>
      <c r="B22" s="144" t="s">
        <v>180</v>
      </c>
      <c r="C22" s="144" t="s">
        <v>181</v>
      </c>
      <c r="D22" s="144"/>
      <c r="E22" s="144"/>
      <c r="F22" s="144" t="s">
        <v>162</v>
      </c>
      <c r="G22" s="144" t="s">
        <v>182</v>
      </c>
      <c r="H22" s="144" t="s">
        <v>319</v>
      </c>
      <c r="I22" s="144" t="s">
        <v>314</v>
      </c>
      <c r="J22" s="144">
        <f>I22-H22</f>
        <v>-3245</v>
      </c>
      <c r="K22" s="144"/>
      <c r="L22" s="145"/>
    </row>
    <row r="23" spans="1:12" ht="14.45" customHeight="1" thickBot="1" x14ac:dyDescent="0.25">
      <c r="A23" s="143" t="s">
        <v>134</v>
      </c>
      <c r="B23" s="144" t="s">
        <v>185</v>
      </c>
      <c r="C23" s="144" t="s">
        <v>186</v>
      </c>
      <c r="D23" s="144"/>
      <c r="E23" s="144" t="s">
        <v>187</v>
      </c>
      <c r="F23" s="144" t="s">
        <v>162</v>
      </c>
      <c r="G23" s="144" t="s">
        <v>188</v>
      </c>
      <c r="H23" s="144" t="s">
        <v>174</v>
      </c>
      <c r="I23" s="144" t="s">
        <v>314</v>
      </c>
      <c r="J23" s="144">
        <f>I23-H23</f>
        <v>-72</v>
      </c>
      <c r="K23" s="144"/>
      <c r="L23" s="145"/>
    </row>
    <row r="24" spans="1:12" ht="14.45" customHeight="1" thickBot="1" x14ac:dyDescent="0.25">
      <c r="A24" s="143" t="s">
        <v>139</v>
      </c>
      <c r="B24" s="144" t="s">
        <v>70</v>
      </c>
      <c r="C24" s="144" t="s">
        <v>71</v>
      </c>
      <c r="D24" s="144" t="s">
        <v>72</v>
      </c>
      <c r="E24" s="144"/>
      <c r="F24" s="144" t="s">
        <v>46</v>
      </c>
      <c r="G24" s="144" t="s">
        <v>73</v>
      </c>
      <c r="H24" s="144" t="s">
        <v>211</v>
      </c>
      <c r="I24" s="144" t="s">
        <v>314</v>
      </c>
      <c r="J24" s="144">
        <f>I24-H24</f>
        <v>-37</v>
      </c>
      <c r="K24" s="144"/>
      <c r="L24" s="145"/>
    </row>
    <row r="25" spans="1:12" ht="14.45" customHeight="1" thickBot="1" x14ac:dyDescent="0.25">
      <c r="A25" s="143" t="s">
        <v>145</v>
      </c>
      <c r="B25" s="144" t="s">
        <v>140</v>
      </c>
      <c r="C25" s="144" t="s">
        <v>141</v>
      </c>
      <c r="D25" s="144" t="s">
        <v>142</v>
      </c>
      <c r="E25" s="144"/>
      <c r="F25" s="144" t="s">
        <v>143</v>
      </c>
      <c r="G25" s="144" t="s">
        <v>144</v>
      </c>
      <c r="H25" s="144" t="s">
        <v>89</v>
      </c>
      <c r="I25" s="144" t="s">
        <v>314</v>
      </c>
      <c r="J25" s="144">
        <f>I25-H25</f>
        <v>-11</v>
      </c>
      <c r="K25" s="144"/>
      <c r="L25" s="145"/>
    </row>
    <row r="26" spans="1:12" ht="14.45" customHeight="1" thickBot="1" x14ac:dyDescent="0.25">
      <c r="A26" s="143" t="s">
        <v>149</v>
      </c>
      <c r="B26" s="144" t="s">
        <v>219</v>
      </c>
      <c r="C26" s="144" t="s">
        <v>220</v>
      </c>
      <c r="D26" s="144" t="s">
        <v>221</v>
      </c>
      <c r="E26" s="144" t="s">
        <v>222</v>
      </c>
      <c r="F26" s="144" t="s">
        <v>215</v>
      </c>
      <c r="G26" s="144" t="s">
        <v>213</v>
      </c>
      <c r="H26" s="144" t="s">
        <v>134</v>
      </c>
      <c r="I26" s="144" t="s">
        <v>314</v>
      </c>
      <c r="J26" s="144">
        <f>I26-H26</f>
        <v>-20</v>
      </c>
      <c r="K26" s="144"/>
      <c r="L26" s="145"/>
    </row>
    <row r="27" spans="1:12" ht="14.45" customHeight="1" thickBot="1" x14ac:dyDescent="0.25">
      <c r="A27" s="143" t="s">
        <v>155</v>
      </c>
      <c r="B27" s="144" t="s">
        <v>219</v>
      </c>
      <c r="C27" s="144" t="s">
        <v>224</v>
      </c>
      <c r="D27" s="144" t="s">
        <v>225</v>
      </c>
      <c r="E27" s="144" t="s">
        <v>222</v>
      </c>
      <c r="F27" s="144" t="s">
        <v>215</v>
      </c>
      <c r="G27" s="144" t="s">
        <v>217</v>
      </c>
      <c r="H27" s="144" t="s">
        <v>320</v>
      </c>
      <c r="I27" s="144" t="s">
        <v>314</v>
      </c>
      <c r="J27" s="144">
        <f>I27-H27</f>
        <v>-248</v>
      </c>
      <c r="K27" s="144"/>
      <c r="L27" s="145"/>
    </row>
    <row r="28" spans="1:12" ht="14.45" customHeight="1" thickBot="1" x14ac:dyDescent="0.25">
      <c r="A28" s="143" t="s">
        <v>159</v>
      </c>
      <c r="B28" s="144" t="s">
        <v>146</v>
      </c>
      <c r="C28" s="144" t="s">
        <v>238</v>
      </c>
      <c r="D28" s="144" t="s">
        <v>239</v>
      </c>
      <c r="E28" s="144" t="s">
        <v>240</v>
      </c>
      <c r="F28" s="144" t="s">
        <v>241</v>
      </c>
      <c r="G28" s="144" t="s">
        <v>238</v>
      </c>
      <c r="H28" s="144" t="s">
        <v>37</v>
      </c>
      <c r="I28" s="144" t="s">
        <v>314</v>
      </c>
      <c r="J28" s="144">
        <f>I28-H28</f>
        <v>-1</v>
      </c>
      <c r="K28" s="144"/>
      <c r="L28" s="145"/>
    </row>
    <row r="29" spans="1:12" ht="14.45" customHeight="1" thickBot="1" x14ac:dyDescent="0.25">
      <c r="A29" s="143" t="s">
        <v>165</v>
      </c>
      <c r="B29" s="144" t="s">
        <v>146</v>
      </c>
      <c r="C29" s="144" t="s">
        <v>147</v>
      </c>
      <c r="D29" s="144"/>
      <c r="E29" s="144"/>
      <c r="F29" s="144" t="s">
        <v>143</v>
      </c>
      <c r="G29" s="144" t="s">
        <v>148</v>
      </c>
      <c r="H29" s="144" t="s">
        <v>85</v>
      </c>
      <c r="I29" s="144" t="s">
        <v>314</v>
      </c>
      <c r="J29" s="144">
        <f>I29-H29</f>
        <v>-10</v>
      </c>
      <c r="K29" s="144"/>
      <c r="L29" s="145"/>
    </row>
    <row r="30" spans="1:12" ht="14.45" customHeight="1" thickBot="1" x14ac:dyDescent="0.25">
      <c r="A30" s="143" t="s">
        <v>170</v>
      </c>
      <c r="B30" s="144" t="s">
        <v>190</v>
      </c>
      <c r="C30" s="144" t="s">
        <v>191</v>
      </c>
      <c r="D30" s="144"/>
      <c r="E30" s="144"/>
      <c r="F30" s="144" t="s">
        <v>162</v>
      </c>
      <c r="G30" s="144" t="s">
        <v>192</v>
      </c>
      <c r="H30" s="144" t="s">
        <v>321</v>
      </c>
      <c r="I30" s="144" t="s">
        <v>314</v>
      </c>
      <c r="J30" s="144">
        <f>I30-H30</f>
        <v>-287</v>
      </c>
      <c r="K30" s="144"/>
      <c r="L30" s="145"/>
    </row>
    <row r="31" spans="1:12" ht="14.45" customHeight="1" thickBot="1" x14ac:dyDescent="0.25">
      <c r="A31" s="143" t="s">
        <v>175</v>
      </c>
      <c r="B31" s="144" t="s">
        <v>253</v>
      </c>
      <c r="C31" s="144" t="s">
        <v>254</v>
      </c>
      <c r="D31" s="144" t="s">
        <v>67</v>
      </c>
      <c r="E31" s="144" t="s">
        <v>256</v>
      </c>
      <c r="F31" s="144" t="s">
        <v>46</v>
      </c>
      <c r="G31" s="144" t="s">
        <v>276</v>
      </c>
      <c r="H31" s="144" t="s">
        <v>74</v>
      </c>
      <c r="I31" s="144" t="s">
        <v>314</v>
      </c>
      <c r="J31" s="144">
        <f>I31-H31</f>
        <v>-8</v>
      </c>
      <c r="K31" s="144"/>
      <c r="L31" s="145"/>
    </row>
    <row r="32" spans="1:12" ht="14.45" customHeight="1" thickBot="1" x14ac:dyDescent="0.25">
      <c r="A32" s="143" t="s">
        <v>179</v>
      </c>
      <c r="B32" s="144" t="s">
        <v>253</v>
      </c>
      <c r="C32" s="144" t="s">
        <v>254</v>
      </c>
      <c r="D32" s="144" t="s">
        <v>255</v>
      </c>
      <c r="E32" s="144" t="s">
        <v>256</v>
      </c>
      <c r="F32" s="144" t="s">
        <v>46</v>
      </c>
      <c r="G32" s="144" t="s">
        <v>257</v>
      </c>
      <c r="H32" s="144" t="s">
        <v>69</v>
      </c>
      <c r="I32" s="144" t="s">
        <v>314</v>
      </c>
      <c r="J32" s="144">
        <f>I32-H32</f>
        <v>-7</v>
      </c>
      <c r="K32" s="144"/>
      <c r="L32" s="145"/>
    </row>
    <row r="33" spans="1:12" ht="14.45" customHeight="1" thickBot="1" x14ac:dyDescent="0.25">
      <c r="A33" s="143" t="s">
        <v>184</v>
      </c>
      <c r="B33" s="144" t="s">
        <v>129</v>
      </c>
      <c r="C33" s="144" t="s">
        <v>130</v>
      </c>
      <c r="D33" s="144"/>
      <c r="E33" s="144" t="s">
        <v>131</v>
      </c>
      <c r="F33" s="144" t="s">
        <v>132</v>
      </c>
      <c r="G33" s="144" t="s">
        <v>133</v>
      </c>
      <c r="H33" s="144" t="s">
        <v>89</v>
      </c>
      <c r="I33" s="144" t="s">
        <v>314</v>
      </c>
      <c r="J33" s="144">
        <f>I33-H33</f>
        <v>-11</v>
      </c>
      <c r="K33" s="144"/>
      <c r="L33" s="145"/>
    </row>
    <row r="34" spans="1:12" ht="14.45" customHeight="1" thickBot="1" x14ac:dyDescent="0.25">
      <c r="A34" s="143" t="s">
        <v>189</v>
      </c>
      <c r="B34" s="144" t="s">
        <v>75</v>
      </c>
      <c r="C34" s="144" t="s">
        <v>76</v>
      </c>
      <c r="D34" s="144" t="s">
        <v>77</v>
      </c>
      <c r="E34" s="144" t="s">
        <v>78</v>
      </c>
      <c r="F34" s="144" t="s">
        <v>46</v>
      </c>
      <c r="G34" s="144" t="s">
        <v>79</v>
      </c>
      <c r="H34" s="144" t="s">
        <v>149</v>
      </c>
      <c r="I34" s="144" t="s">
        <v>314</v>
      </c>
      <c r="J34" s="144">
        <f>I34-H34</f>
        <v>-23</v>
      </c>
      <c r="K34" s="144"/>
      <c r="L34" s="145"/>
    </row>
    <row r="35" spans="1:12" ht="14.45" customHeight="1" thickBot="1" x14ac:dyDescent="0.25">
      <c r="A35" s="143" t="s">
        <v>193</v>
      </c>
      <c r="B35" s="144" t="s">
        <v>135</v>
      </c>
      <c r="C35" s="144" t="s">
        <v>136</v>
      </c>
      <c r="D35" s="144" t="s">
        <v>137</v>
      </c>
      <c r="E35" s="144" t="s">
        <v>138</v>
      </c>
      <c r="F35" s="144" t="s">
        <v>132</v>
      </c>
      <c r="G35" s="144" t="s">
        <v>136</v>
      </c>
      <c r="H35" s="144" t="s">
        <v>89</v>
      </c>
      <c r="I35" s="144" t="s">
        <v>314</v>
      </c>
      <c r="J35" s="144">
        <f>I35-H35</f>
        <v>-11</v>
      </c>
      <c r="K35" s="144"/>
      <c r="L35" s="145"/>
    </row>
    <row r="36" spans="1:12" ht="14.45" customHeight="1" thickBot="1" x14ac:dyDescent="0.25">
      <c r="A36" s="143" t="s">
        <v>197</v>
      </c>
      <c r="B36" s="144" t="s">
        <v>156</v>
      </c>
      <c r="C36" s="144" t="s">
        <v>157</v>
      </c>
      <c r="D36" s="144"/>
      <c r="E36" s="144"/>
      <c r="F36" s="144" t="s">
        <v>158</v>
      </c>
      <c r="G36" s="144"/>
      <c r="H36" s="144" t="s">
        <v>89</v>
      </c>
      <c r="I36" s="144" t="s">
        <v>314</v>
      </c>
      <c r="J36" s="144">
        <f>I36-H36</f>
        <v>-11</v>
      </c>
      <c r="K36" s="144"/>
      <c r="L36" s="145"/>
    </row>
    <row r="37" spans="1:12" ht="14.45" customHeight="1" thickBot="1" x14ac:dyDescent="0.25">
      <c r="A37" s="143" t="s">
        <v>201</v>
      </c>
      <c r="B37" s="144" t="s">
        <v>81</v>
      </c>
      <c r="C37" s="144" t="s">
        <v>82</v>
      </c>
      <c r="D37" s="144" t="s">
        <v>72</v>
      </c>
      <c r="E37" s="144" t="s">
        <v>83</v>
      </c>
      <c r="F37" s="144" t="s">
        <v>46</v>
      </c>
      <c r="G37" s="144" t="s">
        <v>84</v>
      </c>
      <c r="H37" s="144" t="s">
        <v>89</v>
      </c>
      <c r="I37" s="144" t="s">
        <v>314</v>
      </c>
      <c r="J37" s="144">
        <f>I37-H37</f>
        <v>-11</v>
      </c>
      <c r="K37" s="144"/>
      <c r="L37" s="145"/>
    </row>
    <row r="38" spans="1:12" ht="14.45" customHeight="1" thickBot="1" x14ac:dyDescent="0.25">
      <c r="A38" s="143" t="s">
        <v>205</v>
      </c>
      <c r="B38" s="144" t="s">
        <v>258</v>
      </c>
      <c r="C38" s="144" t="s">
        <v>259</v>
      </c>
      <c r="D38" s="144"/>
      <c r="E38" s="144"/>
      <c r="F38" s="144" t="s">
        <v>46</v>
      </c>
      <c r="G38" s="144" t="s">
        <v>260</v>
      </c>
      <c r="H38" s="144" t="s">
        <v>74</v>
      </c>
      <c r="I38" s="144" t="s">
        <v>314</v>
      </c>
      <c r="J38" s="144">
        <f>I38-H38</f>
        <v>-8</v>
      </c>
      <c r="K38" s="144"/>
      <c r="L38" s="145"/>
    </row>
    <row r="39" spans="1:12" ht="14.45" customHeight="1" thickBot="1" x14ac:dyDescent="0.25">
      <c r="A39" s="143" t="s">
        <v>164</v>
      </c>
      <c r="B39" s="144" t="s">
        <v>86</v>
      </c>
      <c r="C39" s="144" t="s">
        <v>87</v>
      </c>
      <c r="D39" s="144"/>
      <c r="E39" s="144"/>
      <c r="F39" s="144" t="s">
        <v>46</v>
      </c>
      <c r="G39" s="144" t="s">
        <v>88</v>
      </c>
      <c r="H39" s="144" t="s">
        <v>54</v>
      </c>
      <c r="I39" s="144" t="s">
        <v>314</v>
      </c>
      <c r="J39" s="144">
        <f>I39-H39</f>
        <v>-4</v>
      </c>
      <c r="K39" s="144"/>
      <c r="L39" s="145"/>
    </row>
    <row r="40" spans="1:12" ht="14.45" customHeight="1" thickBot="1" x14ac:dyDescent="0.25">
      <c r="A40" s="143" t="s">
        <v>211</v>
      </c>
      <c r="B40" s="144" t="s">
        <v>230</v>
      </c>
      <c r="C40" s="144" t="s">
        <v>231</v>
      </c>
      <c r="D40" s="144"/>
      <c r="E40" s="144"/>
      <c r="F40" s="144" t="s">
        <v>46</v>
      </c>
      <c r="G40" s="144" t="s">
        <v>232</v>
      </c>
      <c r="H40" s="144" t="s">
        <v>64</v>
      </c>
      <c r="I40" s="144" t="s">
        <v>314</v>
      </c>
      <c r="J40" s="144">
        <f>I40-H40</f>
        <v>-6</v>
      </c>
      <c r="K40" s="144"/>
      <c r="L40" s="145"/>
    </row>
    <row r="41" spans="1:12" ht="14.45" customHeight="1" thickBot="1" x14ac:dyDescent="0.25">
      <c r="A41" s="143" t="s">
        <v>216</v>
      </c>
      <c r="B41" s="144" t="s">
        <v>90</v>
      </c>
      <c r="C41" s="144" t="s">
        <v>91</v>
      </c>
      <c r="D41" s="144" t="s">
        <v>92</v>
      </c>
      <c r="E41" s="144" t="s">
        <v>93</v>
      </c>
      <c r="F41" s="144" t="s">
        <v>46</v>
      </c>
      <c r="G41" s="144" t="s">
        <v>94</v>
      </c>
      <c r="H41" s="144" t="s">
        <v>89</v>
      </c>
      <c r="I41" s="144" t="s">
        <v>314</v>
      </c>
      <c r="J41" s="144">
        <f>I41-H41</f>
        <v>-11</v>
      </c>
      <c r="K41" s="144"/>
      <c r="L41" s="145"/>
    </row>
    <row r="42" spans="1:12" ht="14.45" customHeight="1" thickBot="1" x14ac:dyDescent="0.25">
      <c r="A42" s="143" t="s">
        <v>218</v>
      </c>
      <c r="B42" s="144" t="s">
        <v>38</v>
      </c>
      <c r="C42" s="144" t="s">
        <v>39</v>
      </c>
      <c r="D42" s="144"/>
      <c r="E42" s="144"/>
      <c r="F42" s="144"/>
      <c r="G42" s="144"/>
      <c r="H42" s="144" t="s">
        <v>101</v>
      </c>
      <c r="I42" s="144" t="s">
        <v>314</v>
      </c>
      <c r="J42" s="144">
        <f>I42-H42</f>
        <v>-13</v>
      </c>
      <c r="K42" s="144"/>
      <c r="L42" s="145"/>
    </row>
    <row r="43" spans="1:12" ht="14.45" customHeight="1" thickBot="1" x14ac:dyDescent="0.25">
      <c r="A43" s="143" t="s">
        <v>223</v>
      </c>
      <c r="B43" s="144" t="s">
        <v>267</v>
      </c>
      <c r="C43" s="144" t="s">
        <v>268</v>
      </c>
      <c r="D43" s="144" t="s">
        <v>269</v>
      </c>
      <c r="E43" s="144"/>
      <c r="F43" s="144"/>
      <c r="G43" s="144"/>
      <c r="H43" s="144" t="s">
        <v>37</v>
      </c>
      <c r="I43" s="144" t="s">
        <v>314</v>
      </c>
      <c r="J43" s="144">
        <f>I43-H43</f>
        <v>-1</v>
      </c>
      <c r="K43" s="144"/>
      <c r="L43" s="145"/>
    </row>
    <row r="44" spans="1:12" ht="14.45" customHeight="1" thickBot="1" x14ac:dyDescent="0.25">
      <c r="A44" s="143" t="s">
        <v>237</v>
      </c>
      <c r="B44" s="144" t="s">
        <v>228</v>
      </c>
      <c r="C44" s="144" t="s">
        <v>229</v>
      </c>
      <c r="D44" s="144"/>
      <c r="E44" s="144"/>
      <c r="F44" s="144"/>
      <c r="G44" s="144"/>
      <c r="H44" s="144" t="s">
        <v>59</v>
      </c>
      <c r="I44" s="144" t="s">
        <v>314</v>
      </c>
      <c r="J44" s="144">
        <f>I44-H44</f>
        <v>-14</v>
      </c>
      <c r="K44" s="144"/>
      <c r="L44" s="145"/>
    </row>
    <row r="45" spans="1:12" ht="14.45" customHeight="1" thickBot="1" x14ac:dyDescent="0.25">
      <c r="A45" s="143" t="s">
        <v>249</v>
      </c>
      <c r="B45" s="144" t="s">
        <v>96</v>
      </c>
      <c r="C45" s="144" t="s">
        <v>97</v>
      </c>
      <c r="D45" s="144" t="s">
        <v>98</v>
      </c>
      <c r="E45" s="144" t="s">
        <v>99</v>
      </c>
      <c r="F45" s="144" t="s">
        <v>46</v>
      </c>
      <c r="G45" s="144" t="s">
        <v>100</v>
      </c>
      <c r="H45" s="144" t="s">
        <v>322</v>
      </c>
      <c r="I45" s="144" t="s">
        <v>314</v>
      </c>
      <c r="J45" s="144">
        <f>I45-H45</f>
        <v>-47</v>
      </c>
      <c r="K45" s="144"/>
      <c r="L45" s="145"/>
    </row>
    <row r="46" spans="1:12" ht="14.45" customHeight="1" thickBot="1" x14ac:dyDescent="0.25">
      <c r="A46" s="143" t="s">
        <v>323</v>
      </c>
      <c r="B46" s="144" t="s">
        <v>277</v>
      </c>
      <c r="C46" s="144" t="s">
        <v>278</v>
      </c>
      <c r="D46" s="144"/>
      <c r="E46" s="144"/>
      <c r="F46" s="144" t="s">
        <v>46</v>
      </c>
      <c r="G46" s="144" t="s">
        <v>279</v>
      </c>
      <c r="H46" s="144" t="s">
        <v>54</v>
      </c>
      <c r="I46" s="144" t="s">
        <v>314</v>
      </c>
      <c r="J46" s="144">
        <f>I46-H46</f>
        <v>-4</v>
      </c>
      <c r="K46" s="144"/>
      <c r="L46" s="145"/>
    </row>
    <row r="47" spans="1:12" ht="14.45" customHeight="1" thickBot="1" x14ac:dyDescent="0.25">
      <c r="A47" s="143" t="s">
        <v>324</v>
      </c>
      <c r="B47" s="144" t="s">
        <v>194</v>
      </c>
      <c r="C47" s="144" t="s">
        <v>195</v>
      </c>
      <c r="D47" s="144"/>
      <c r="E47" s="144"/>
      <c r="F47" s="144" t="s">
        <v>162</v>
      </c>
      <c r="G47" s="144" t="s">
        <v>196</v>
      </c>
      <c r="H47" s="144" t="s">
        <v>325</v>
      </c>
      <c r="I47" s="144" t="s">
        <v>314</v>
      </c>
      <c r="J47" s="144">
        <f>I47-H47</f>
        <v>-320</v>
      </c>
      <c r="K47" s="144"/>
      <c r="L47" s="145"/>
    </row>
    <row r="48" spans="1:12" ht="14.45" customHeight="1" thickBot="1" x14ac:dyDescent="0.25">
      <c r="A48" s="143" t="s">
        <v>326</v>
      </c>
      <c r="B48" s="144" t="s">
        <v>198</v>
      </c>
      <c r="C48" s="144" t="s">
        <v>199</v>
      </c>
      <c r="D48" s="144"/>
      <c r="E48" s="144"/>
      <c r="F48" s="144" t="s">
        <v>162</v>
      </c>
      <c r="G48" s="144" t="s">
        <v>200</v>
      </c>
      <c r="H48" s="144" t="s">
        <v>327</v>
      </c>
      <c r="I48" s="144" t="s">
        <v>314</v>
      </c>
      <c r="J48" s="144">
        <f>I48-H48</f>
        <v>-582</v>
      </c>
      <c r="K48" s="144"/>
      <c r="L48" s="145"/>
    </row>
    <row r="49" spans="1:12" ht="14.45" customHeight="1" thickBot="1" x14ac:dyDescent="0.25">
      <c r="A49" s="143" t="s">
        <v>328</v>
      </c>
      <c r="B49" s="144" t="s">
        <v>280</v>
      </c>
      <c r="C49" s="144" t="s">
        <v>281</v>
      </c>
      <c r="D49" s="144" t="s">
        <v>282</v>
      </c>
      <c r="E49" s="144"/>
      <c r="F49" s="144" t="s">
        <v>46</v>
      </c>
      <c r="G49" s="144" t="s">
        <v>283</v>
      </c>
      <c r="H49" s="144" t="s">
        <v>41</v>
      </c>
      <c r="I49" s="144" t="s">
        <v>314</v>
      </c>
      <c r="J49" s="144">
        <f>I49-H49</f>
        <v>-2</v>
      </c>
      <c r="K49" s="144"/>
      <c r="L49" s="145"/>
    </row>
    <row r="50" spans="1:12" ht="14.45" customHeight="1" thickBot="1" x14ac:dyDescent="0.25">
      <c r="A50" s="143" t="s">
        <v>322</v>
      </c>
      <c r="B50" s="144" t="s">
        <v>102</v>
      </c>
      <c r="C50" s="144" t="s">
        <v>103</v>
      </c>
      <c r="D50" s="144" t="s">
        <v>104</v>
      </c>
      <c r="E50" s="144" t="s">
        <v>52</v>
      </c>
      <c r="F50" s="144" t="s">
        <v>46</v>
      </c>
      <c r="G50" s="144" t="s">
        <v>105</v>
      </c>
      <c r="H50" s="144" t="s">
        <v>85</v>
      </c>
      <c r="I50" s="144" t="s">
        <v>314</v>
      </c>
      <c r="J50" s="144">
        <f>I50-H50</f>
        <v>-10</v>
      </c>
      <c r="K50" s="144"/>
      <c r="L50" s="145"/>
    </row>
    <row r="51" spans="1:12" ht="14.45" customHeight="1" thickBot="1" x14ac:dyDescent="0.25">
      <c r="A51" s="143" t="s">
        <v>226</v>
      </c>
      <c r="B51" s="144" t="s">
        <v>111</v>
      </c>
      <c r="C51" s="144" t="s">
        <v>112</v>
      </c>
      <c r="D51" s="144" t="s">
        <v>113</v>
      </c>
      <c r="E51" s="144" t="s">
        <v>114</v>
      </c>
      <c r="F51" s="144" t="s">
        <v>46</v>
      </c>
      <c r="G51" s="144" t="s">
        <v>115</v>
      </c>
      <c r="H51" s="144" t="s">
        <v>149</v>
      </c>
      <c r="I51" s="144" t="s">
        <v>314</v>
      </c>
      <c r="J51" s="144">
        <f>I51-H51</f>
        <v>-23</v>
      </c>
      <c r="K51" s="144"/>
      <c r="L51" s="145"/>
    </row>
    <row r="52" spans="1:12" ht="14.45" customHeight="1" thickBot="1" x14ac:dyDescent="0.25">
      <c r="A52" s="143" t="s">
        <v>329</v>
      </c>
      <c r="B52" s="144" t="s">
        <v>111</v>
      </c>
      <c r="C52" s="144" t="s">
        <v>117</v>
      </c>
      <c r="D52" s="144" t="s">
        <v>113</v>
      </c>
      <c r="E52" s="144" t="s">
        <v>118</v>
      </c>
      <c r="F52" s="144" t="s">
        <v>46</v>
      </c>
      <c r="G52" s="144" t="s">
        <v>119</v>
      </c>
      <c r="H52" s="144" t="s">
        <v>116</v>
      </c>
      <c r="I52" s="144" t="s">
        <v>314</v>
      </c>
      <c r="J52" s="144">
        <f>I52-H52</f>
        <v>-16</v>
      </c>
      <c r="K52" s="144"/>
      <c r="L52" s="145"/>
    </row>
    <row r="53" spans="1:12" ht="14.45" customHeight="1" thickBot="1" x14ac:dyDescent="0.25">
      <c r="A53" s="143" t="s">
        <v>247</v>
      </c>
      <c r="B53" s="144" t="s">
        <v>111</v>
      </c>
      <c r="C53" s="144" t="s">
        <v>121</v>
      </c>
      <c r="D53" s="144" t="s">
        <v>113</v>
      </c>
      <c r="E53" s="144" t="s">
        <v>118</v>
      </c>
      <c r="F53" s="144" t="s">
        <v>46</v>
      </c>
      <c r="G53" s="144" t="s">
        <v>122</v>
      </c>
      <c r="H53" s="144" t="s">
        <v>139</v>
      </c>
      <c r="I53" s="144" t="s">
        <v>314</v>
      </c>
      <c r="J53" s="144">
        <f>I53-H53</f>
        <v>-21</v>
      </c>
      <c r="K53" s="144"/>
      <c r="L53" s="145"/>
    </row>
    <row r="54" spans="1:12" ht="14.45" customHeight="1" thickBot="1" x14ac:dyDescent="0.25">
      <c r="A54" s="143" t="s">
        <v>330</v>
      </c>
      <c r="B54" s="144" t="s">
        <v>106</v>
      </c>
      <c r="C54" s="144" t="s">
        <v>284</v>
      </c>
      <c r="D54" s="144" t="s">
        <v>285</v>
      </c>
      <c r="E54" s="144" t="s">
        <v>286</v>
      </c>
      <c r="F54" s="144" t="s">
        <v>46</v>
      </c>
      <c r="G54" s="144" t="s">
        <v>287</v>
      </c>
      <c r="H54" s="144" t="s">
        <v>54</v>
      </c>
      <c r="I54" s="144" t="s">
        <v>314</v>
      </c>
      <c r="J54" s="144">
        <f>I54-H54</f>
        <v>-4</v>
      </c>
      <c r="K54" s="144"/>
      <c r="L54" s="145"/>
    </row>
    <row r="55" spans="1:12" ht="14.45" customHeight="1" thickBot="1" x14ac:dyDescent="0.25">
      <c r="A55" s="143" t="s">
        <v>331</v>
      </c>
      <c r="B55" s="144" t="s">
        <v>106</v>
      </c>
      <c r="C55" s="144" t="s">
        <v>107</v>
      </c>
      <c r="D55" s="144" t="s">
        <v>108</v>
      </c>
      <c r="E55" s="144"/>
      <c r="F55" s="144" t="s">
        <v>46</v>
      </c>
      <c r="G55" s="144" t="s">
        <v>109</v>
      </c>
      <c r="H55" s="144" t="s">
        <v>123</v>
      </c>
      <c r="I55" s="144" t="s">
        <v>314</v>
      </c>
      <c r="J55" s="144">
        <f>I55-H55</f>
        <v>-18</v>
      </c>
      <c r="K55" s="144"/>
      <c r="L55" s="145"/>
    </row>
    <row r="56" spans="1:12" ht="14.45" customHeight="1" thickBot="1" x14ac:dyDescent="0.25">
      <c r="A56" s="143" t="s">
        <v>332</v>
      </c>
      <c r="B56" s="144" t="s">
        <v>202</v>
      </c>
      <c r="C56" s="144" t="s">
        <v>203</v>
      </c>
      <c r="D56" s="144"/>
      <c r="E56" s="144"/>
      <c r="F56" s="144" t="s">
        <v>162</v>
      </c>
      <c r="G56" s="144" t="s">
        <v>204</v>
      </c>
      <c r="H56" s="144" t="s">
        <v>59</v>
      </c>
      <c r="I56" s="144" t="s">
        <v>314</v>
      </c>
      <c r="J56" s="144">
        <f>I56-H56</f>
        <v>-14</v>
      </c>
      <c r="K56" s="144"/>
      <c r="L56" s="145"/>
    </row>
    <row r="57" spans="1:12" ht="14.45" customHeight="1" thickBot="1" x14ac:dyDescent="0.25">
      <c r="A57" s="143" t="s">
        <v>246</v>
      </c>
      <c r="B57" s="144" t="s">
        <v>206</v>
      </c>
      <c r="C57" s="144" t="s">
        <v>207</v>
      </c>
      <c r="D57" s="144"/>
      <c r="E57" s="144"/>
      <c r="F57" s="144" t="s">
        <v>162</v>
      </c>
      <c r="G57" s="144" t="s">
        <v>208</v>
      </c>
      <c r="H57" s="144" t="s">
        <v>89</v>
      </c>
      <c r="I57" s="144" t="s">
        <v>314</v>
      </c>
      <c r="J57" s="144">
        <f>I57-H57</f>
        <v>-11</v>
      </c>
      <c r="K57" s="144"/>
      <c r="L57" s="145"/>
    </row>
    <row r="58" spans="1:12" ht="14.45" customHeight="1" thickBot="1" x14ac:dyDescent="0.25">
      <c r="A58" s="143" t="s">
        <v>333</v>
      </c>
      <c r="B58" s="144" t="s">
        <v>124</v>
      </c>
      <c r="C58" s="144" t="s">
        <v>303</v>
      </c>
      <c r="D58" s="144" t="s">
        <v>126</v>
      </c>
      <c r="E58" s="144"/>
      <c r="F58" s="144" t="s">
        <v>46</v>
      </c>
      <c r="G58" s="144" t="s">
        <v>304</v>
      </c>
      <c r="H58" s="144" t="s">
        <v>123</v>
      </c>
      <c r="I58" s="144" t="s">
        <v>314</v>
      </c>
      <c r="J58" s="144">
        <f>I58-H58</f>
        <v>-18</v>
      </c>
      <c r="K58" s="144"/>
      <c r="L58" s="145"/>
    </row>
    <row r="59" spans="1:12" ht="14.45" customHeight="1" thickBot="1" x14ac:dyDescent="0.25">
      <c r="A59" s="143" t="s">
        <v>250</v>
      </c>
      <c r="B59" s="144" t="s">
        <v>124</v>
      </c>
      <c r="C59" s="144" t="s">
        <v>125</v>
      </c>
      <c r="D59" s="144" t="s">
        <v>126</v>
      </c>
      <c r="E59" s="144"/>
      <c r="F59" s="144" t="s">
        <v>46</v>
      </c>
      <c r="G59" s="144" t="s">
        <v>127</v>
      </c>
      <c r="H59" s="144" t="s">
        <v>64</v>
      </c>
      <c r="I59" s="144" t="s">
        <v>314</v>
      </c>
      <c r="J59" s="144">
        <f>I59-H59</f>
        <v>-6</v>
      </c>
      <c r="K59" s="144"/>
      <c r="L59" s="145"/>
    </row>
    <row r="60" spans="1:12" ht="14.45" customHeight="1" thickBot="1" x14ac:dyDescent="0.25">
      <c r="A60" s="143" t="s">
        <v>266</v>
      </c>
      <c r="B60" s="144" t="s">
        <v>124</v>
      </c>
      <c r="C60" s="144" t="s">
        <v>233</v>
      </c>
      <c r="D60" s="144" t="s">
        <v>126</v>
      </c>
      <c r="E60" s="144"/>
      <c r="F60" s="144" t="s">
        <v>46</v>
      </c>
      <c r="G60" s="144" t="s">
        <v>234</v>
      </c>
      <c r="H60" s="144" t="s">
        <v>54</v>
      </c>
      <c r="I60" s="144" t="s">
        <v>314</v>
      </c>
      <c r="J60" s="144">
        <f>I60-H60</f>
        <v>-4</v>
      </c>
      <c r="K60" s="144"/>
      <c r="L60" s="145"/>
    </row>
    <row r="61" spans="1:12" ht="14.45" customHeight="1" thickBot="1" x14ac:dyDescent="0.25">
      <c r="A61" s="143" t="s">
        <v>334</v>
      </c>
      <c r="B61" s="144" t="s">
        <v>124</v>
      </c>
      <c r="C61" s="144" t="s">
        <v>310</v>
      </c>
      <c r="D61" s="144" t="s">
        <v>126</v>
      </c>
      <c r="E61" s="144"/>
      <c r="F61" s="144" t="s">
        <v>46</v>
      </c>
      <c r="G61" s="144" t="s">
        <v>311</v>
      </c>
      <c r="H61" s="144" t="s">
        <v>41</v>
      </c>
      <c r="I61" s="144" t="s">
        <v>314</v>
      </c>
      <c r="J61" s="144">
        <f>I61-H61</f>
        <v>-2</v>
      </c>
      <c r="K61" s="144"/>
      <c r="L61" s="145"/>
    </row>
    <row r="62" spans="1:12" ht="14.45" customHeight="1" thickBot="1" x14ac:dyDescent="0.25">
      <c r="A62" s="143" t="s">
        <v>335</v>
      </c>
      <c r="B62" s="144" t="s">
        <v>124</v>
      </c>
      <c r="C62" s="144" t="s">
        <v>261</v>
      </c>
      <c r="D62" s="144" t="s">
        <v>126</v>
      </c>
      <c r="E62" s="144"/>
      <c r="F62" s="144" t="s">
        <v>46</v>
      </c>
      <c r="G62" s="144" t="s">
        <v>262</v>
      </c>
      <c r="H62" s="144" t="s">
        <v>41</v>
      </c>
      <c r="I62" s="144" t="s">
        <v>314</v>
      </c>
      <c r="J62" s="144">
        <f>I62-H62</f>
        <v>-2</v>
      </c>
      <c r="K62" s="144"/>
      <c r="L62" s="145"/>
    </row>
    <row r="63" spans="1:12" ht="14.45" customHeight="1" thickBot="1" x14ac:dyDescent="0.25">
      <c r="A63" s="143" t="s">
        <v>169</v>
      </c>
      <c r="B63" s="144" t="s">
        <v>124</v>
      </c>
      <c r="C63" s="144" t="s">
        <v>288</v>
      </c>
      <c r="D63" s="144" t="s">
        <v>126</v>
      </c>
      <c r="E63" s="144"/>
      <c r="F63" s="144" t="s">
        <v>46</v>
      </c>
      <c r="G63" s="144" t="s">
        <v>289</v>
      </c>
      <c r="H63" s="144" t="s">
        <v>54</v>
      </c>
      <c r="I63" s="144" t="s">
        <v>314</v>
      </c>
      <c r="J63" s="144">
        <f>I63-H63</f>
        <v>-4</v>
      </c>
      <c r="K63" s="144"/>
      <c r="L63" s="145"/>
    </row>
    <row r="64" spans="1:12" ht="14.45" customHeight="1" thickBot="1" x14ac:dyDescent="0.25">
      <c r="A64" s="143" t="s">
        <v>302</v>
      </c>
      <c r="B64" s="144" t="s">
        <v>124</v>
      </c>
      <c r="C64" s="144" t="s">
        <v>290</v>
      </c>
      <c r="D64" s="144" t="s">
        <v>126</v>
      </c>
      <c r="E64" s="144"/>
      <c r="F64" s="144" t="s">
        <v>46</v>
      </c>
      <c r="G64" s="144" t="s">
        <v>291</v>
      </c>
      <c r="H64" s="144" t="s">
        <v>54</v>
      </c>
      <c r="I64" s="144" t="s">
        <v>314</v>
      </c>
      <c r="J64" s="144">
        <f>I64-H64</f>
        <v>-4</v>
      </c>
      <c r="K64" s="144"/>
      <c r="L64" s="145"/>
    </row>
    <row r="65" spans="1:12" ht="14.45" customHeight="1" thickBot="1" x14ac:dyDescent="0.25">
      <c r="A65" s="143" t="s">
        <v>336</v>
      </c>
      <c r="B65" s="144" t="s">
        <v>150</v>
      </c>
      <c r="C65" s="144" t="s">
        <v>151</v>
      </c>
      <c r="D65" s="144" t="s">
        <v>152</v>
      </c>
      <c r="E65" s="144" t="s">
        <v>153</v>
      </c>
      <c r="F65" s="144" t="s">
        <v>143</v>
      </c>
      <c r="G65" s="144" t="s">
        <v>154</v>
      </c>
      <c r="H65" s="144" t="s">
        <v>89</v>
      </c>
      <c r="I65" s="144" t="s">
        <v>314</v>
      </c>
      <c r="J65" s="144">
        <f>I65-H65</f>
        <v>-11</v>
      </c>
      <c r="K65" s="144"/>
      <c r="L65" s="145"/>
    </row>
    <row r="66" spans="1:12" ht="14.45" customHeight="1" thickBot="1" x14ac:dyDescent="0.25">
      <c r="A66" s="143" t="s">
        <v>337</v>
      </c>
      <c r="B66" s="144" t="s">
        <v>209</v>
      </c>
      <c r="C66" s="144" t="s">
        <v>210</v>
      </c>
      <c r="D66" s="144"/>
      <c r="E66" s="144"/>
      <c r="F66" s="144" t="s">
        <v>162</v>
      </c>
      <c r="G66" s="144" t="s">
        <v>192</v>
      </c>
      <c r="H66" s="144" t="s">
        <v>321</v>
      </c>
      <c r="I66" s="144" t="s">
        <v>314</v>
      </c>
      <c r="J66" s="144">
        <f>I66-H66</f>
        <v>-287</v>
      </c>
      <c r="K66" s="144"/>
      <c r="L66" s="145"/>
    </row>
    <row r="67" spans="1:12" ht="14.45" customHeight="1" thickBot="1" x14ac:dyDescent="0.25">
      <c r="A67" s="143" t="s">
        <v>264</v>
      </c>
      <c r="B67" s="144" t="s">
        <v>292</v>
      </c>
      <c r="C67" s="144" t="s">
        <v>293</v>
      </c>
      <c r="D67" s="144"/>
      <c r="E67" s="144" t="s">
        <v>294</v>
      </c>
      <c r="F67" s="144" t="s">
        <v>46</v>
      </c>
      <c r="G67" s="144" t="s">
        <v>295</v>
      </c>
      <c r="H67" s="144" t="s">
        <v>41</v>
      </c>
      <c r="I67" s="144" t="s">
        <v>314</v>
      </c>
      <c r="J67" s="144">
        <f>I67-H67</f>
        <v>-2</v>
      </c>
      <c r="K67" s="144"/>
      <c r="L67" s="145"/>
    </row>
  </sheetData>
  <autoFilter ref="A3:L3"/>
  <mergeCells count="1">
    <mergeCell ref="A2:L2"/>
  </mergeCells>
  <pageMargins left="0.70866141732283472" right="0.70866141732283472" top="0.74803149606299213" bottom="0.74803149606299213" header="0.31496062992125984" footer="0.31496062992125984"/>
  <pageSetup paperSize="9" scale="53" fitToHeight="0" orientation="landscape" r:id="rId1"/>
  <headerFooter>
    <oddHeader xml:space="preserve">&amp;L&amp;"ABB Logo,Plain"&amp;42&amp;KFF0000ABB&amp;20&amp;K000000
&amp;"Arial,Normal"&amp;11ABB Argentina SA&amp;C&amp;14Lista de Materiales&amp;R&amp;14
</oddHeader>
    <oddFooter>&amp;L&amp;11Preparó / G. DEGENHARDT
Aprobó / F. DEL CARLO&amp;R&amp;11&amp;F
Fecha: &amp;D 
Hoja &amp;P de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G43"/>
  <sheetViews>
    <sheetView zoomScaleNormal="100" zoomScaleSheetLayoutView="100" workbookViewId="0">
      <pane ySplit="3" topLeftCell="A4" activePane="bottomLeft" state="frozen"/>
      <selection pane="bottomLeft"/>
    </sheetView>
  </sheetViews>
  <sheetFormatPr defaultRowHeight="12.75" x14ac:dyDescent="0.2"/>
  <cols>
    <col min="1" max="1" width="5.5703125" style="66" customWidth="1"/>
    <col min="2" max="2" width="27.140625" style="66" customWidth="1"/>
    <col min="3" max="3" width="32.5703125" style="66" customWidth="1"/>
    <col min="4" max="4" width="22.5703125" style="66" customWidth="1"/>
    <col min="5" max="5" width="22.7109375" style="66" customWidth="1"/>
    <col min="6" max="6" width="20.5703125" style="66" customWidth="1"/>
    <col min="7" max="7" width="22.5703125" style="66" customWidth="1"/>
    <col min="8" max="8" width="9.140625" style="66" customWidth="1"/>
    <col min="9" max="9" width="8.5703125" style="66" customWidth="1"/>
    <col min="10" max="10" width="17.5703125" style="66" customWidth="1"/>
    <col min="11" max="11" width="21.7109375" style="66" customWidth="1"/>
    <col min="12" max="12" width="6.5703125" style="66" customWidth="1"/>
    <col min="13" max="13" width="28.5703125" style="66" customWidth="1"/>
  </cols>
  <sheetData>
    <row r="1" spans="1:33" x14ac:dyDescent="0.2">
      <c r="C1" s="54"/>
      <c r="D1" s="66" t="s">
        <v>227</v>
      </c>
      <c r="E1" s="66">
        <v>1</v>
      </c>
    </row>
    <row r="2" spans="1:33" s="19" customFormat="1" ht="25.15" customHeight="1" x14ac:dyDescent="0.25">
      <c r="A2" s="142"/>
      <c r="B2" s="142"/>
      <c r="C2" s="142"/>
      <c r="D2" s="142"/>
      <c r="E2" s="142"/>
      <c r="F2" s="142"/>
      <c r="G2" s="142"/>
      <c r="H2" s="142"/>
      <c r="I2" s="142"/>
      <c r="J2" s="142"/>
      <c r="K2" s="49"/>
      <c r="L2" s="44"/>
      <c r="M2" s="22"/>
      <c r="N2" s="22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</row>
    <row r="3" spans="1:33" ht="36" customHeight="1" thickBot="1" x14ac:dyDescent="0.25">
      <c r="A3" s="65" t="s">
        <v>14</v>
      </c>
      <c r="B3" s="65" t="s">
        <v>0</v>
      </c>
      <c r="C3" s="65" t="s">
        <v>30</v>
      </c>
      <c r="D3" s="65" t="s">
        <v>5</v>
      </c>
      <c r="E3" s="65" t="s">
        <v>26</v>
      </c>
      <c r="F3" s="65" t="s">
        <v>31</v>
      </c>
      <c r="G3" s="65" t="s">
        <v>16</v>
      </c>
      <c r="H3" s="65" t="s">
        <v>35</v>
      </c>
      <c r="I3" s="65" t="s">
        <v>36</v>
      </c>
      <c r="J3" s="65" t="s">
        <v>33</v>
      </c>
      <c r="K3" s="65" t="s">
        <v>34</v>
      </c>
      <c r="L3" s="65" t="s">
        <v>17</v>
      </c>
    </row>
    <row r="4" spans="1:33" ht="15" customHeight="1" thickBot="1" x14ac:dyDescent="0.25">
      <c r="A4" s="73" t="s">
        <v>37</v>
      </c>
      <c r="B4" s="73" t="s">
        <v>38</v>
      </c>
      <c r="C4" s="73" t="s">
        <v>39</v>
      </c>
      <c r="D4" s="74" t="s">
        <v>40</v>
      </c>
      <c r="E4" s="74" t="s">
        <v>40</v>
      </c>
      <c r="F4" s="74" t="s">
        <v>40</v>
      </c>
      <c r="G4" s="74" t="s">
        <v>40</v>
      </c>
      <c r="H4" s="74" t="s">
        <v>37</v>
      </c>
      <c r="I4" s="74"/>
      <c r="J4" s="74"/>
      <c r="K4" s="74"/>
      <c r="L4" s="74"/>
    </row>
    <row r="5" spans="1:33" ht="27" customHeight="1" thickBot="1" x14ac:dyDescent="0.25">
      <c r="A5" s="73" t="s">
        <v>41</v>
      </c>
      <c r="B5" s="73" t="s">
        <v>42</v>
      </c>
      <c r="C5" s="73" t="s">
        <v>43</v>
      </c>
      <c r="D5" s="74" t="s">
        <v>44</v>
      </c>
      <c r="E5" s="74" t="s">
        <v>45</v>
      </c>
      <c r="F5" s="74" t="s">
        <v>46</v>
      </c>
      <c r="G5" s="74" t="s">
        <v>47</v>
      </c>
      <c r="H5" s="74" t="s">
        <v>41</v>
      </c>
      <c r="I5" s="74"/>
      <c r="J5" s="74"/>
      <c r="K5" s="74"/>
      <c r="L5" s="74"/>
    </row>
    <row r="6" spans="1:33" ht="15" customHeight="1" thickBot="1" x14ac:dyDescent="0.25">
      <c r="A6" s="73" t="s">
        <v>48</v>
      </c>
      <c r="B6" s="73" t="s">
        <v>49</v>
      </c>
      <c r="C6" s="73" t="s">
        <v>50</v>
      </c>
      <c r="D6" s="74" t="s">
        <v>51</v>
      </c>
      <c r="E6" s="74" t="s">
        <v>52</v>
      </c>
      <c r="F6" s="74" t="s">
        <v>46</v>
      </c>
      <c r="G6" s="74" t="s">
        <v>53</v>
      </c>
      <c r="H6" s="74" t="s">
        <v>41</v>
      </c>
      <c r="I6" s="74"/>
      <c r="J6" s="74"/>
      <c r="K6" s="74"/>
      <c r="L6" s="74"/>
    </row>
    <row r="7" spans="1:33" ht="15" customHeight="1" thickBot="1" x14ac:dyDescent="0.25">
      <c r="A7" s="73" t="s">
        <v>54</v>
      </c>
      <c r="B7" s="73" t="s">
        <v>49</v>
      </c>
      <c r="C7" s="73" t="s">
        <v>55</v>
      </c>
      <c r="D7" s="74" t="s">
        <v>56</v>
      </c>
      <c r="E7" s="74" t="s">
        <v>57</v>
      </c>
      <c r="F7" s="74" t="s">
        <v>46</v>
      </c>
      <c r="G7" s="74" t="s">
        <v>58</v>
      </c>
      <c r="H7" s="74" t="s">
        <v>59</v>
      </c>
      <c r="I7" s="74"/>
      <c r="J7" s="74"/>
      <c r="K7" s="74"/>
      <c r="L7" s="74"/>
    </row>
    <row r="8" spans="1:33" ht="15" customHeight="1" thickBot="1" x14ac:dyDescent="0.25">
      <c r="A8" s="73" t="s">
        <v>60</v>
      </c>
      <c r="B8" s="73" t="s">
        <v>49</v>
      </c>
      <c r="C8" s="73" t="s">
        <v>61</v>
      </c>
      <c r="D8" s="74" t="s">
        <v>56</v>
      </c>
      <c r="E8" s="74" t="s">
        <v>62</v>
      </c>
      <c r="F8" s="74" t="s">
        <v>46</v>
      </c>
      <c r="G8" s="74" t="s">
        <v>63</v>
      </c>
      <c r="H8" s="74" t="s">
        <v>41</v>
      </c>
      <c r="I8" s="74"/>
      <c r="J8" s="74"/>
      <c r="K8" s="74"/>
      <c r="L8" s="74"/>
    </row>
    <row r="9" spans="1:33" ht="15" customHeight="1" thickBot="1" x14ac:dyDescent="0.25">
      <c r="A9" s="73" t="s">
        <v>64</v>
      </c>
      <c r="B9" s="73" t="s">
        <v>65</v>
      </c>
      <c r="C9" s="73" t="s">
        <v>66</v>
      </c>
      <c r="D9" s="74" t="s">
        <v>67</v>
      </c>
      <c r="E9" s="74" t="s">
        <v>52</v>
      </c>
      <c r="F9" s="74" t="s">
        <v>46</v>
      </c>
      <c r="G9" s="74" t="s">
        <v>68</v>
      </c>
      <c r="H9" s="74" t="s">
        <v>41</v>
      </c>
      <c r="I9" s="74"/>
      <c r="J9" s="74"/>
      <c r="K9" s="74"/>
      <c r="L9" s="74"/>
    </row>
    <row r="10" spans="1:33" ht="15" customHeight="1" thickBot="1" x14ac:dyDescent="0.25">
      <c r="A10" s="73" t="s">
        <v>69</v>
      </c>
      <c r="B10" s="73" t="s">
        <v>70</v>
      </c>
      <c r="C10" s="73" t="s">
        <v>71</v>
      </c>
      <c r="D10" s="74" t="s">
        <v>72</v>
      </c>
      <c r="E10" s="74" t="s">
        <v>40</v>
      </c>
      <c r="F10" s="74" t="s">
        <v>46</v>
      </c>
      <c r="G10" s="74" t="s">
        <v>73</v>
      </c>
      <c r="H10" s="74" t="s">
        <v>48</v>
      </c>
      <c r="I10" s="74"/>
      <c r="J10" s="74"/>
      <c r="K10" s="74"/>
      <c r="L10" s="74"/>
    </row>
    <row r="11" spans="1:33" ht="27" customHeight="1" thickBot="1" x14ac:dyDescent="0.25">
      <c r="A11" s="73" t="s">
        <v>74</v>
      </c>
      <c r="B11" s="73" t="s">
        <v>75</v>
      </c>
      <c r="C11" s="73" t="s">
        <v>76</v>
      </c>
      <c r="D11" s="74" t="s">
        <v>77</v>
      </c>
      <c r="E11" s="74" t="s">
        <v>78</v>
      </c>
      <c r="F11" s="74" t="s">
        <v>46</v>
      </c>
      <c r="G11" s="74" t="s">
        <v>79</v>
      </c>
      <c r="H11" s="74" t="s">
        <v>41</v>
      </c>
      <c r="I11" s="74"/>
      <c r="J11" s="74"/>
      <c r="K11" s="74"/>
      <c r="L11" s="74"/>
    </row>
    <row r="12" spans="1:33" ht="27" customHeight="1" thickBot="1" x14ac:dyDescent="0.25">
      <c r="A12" s="73" t="s">
        <v>80</v>
      </c>
      <c r="B12" s="73" t="s">
        <v>81</v>
      </c>
      <c r="C12" s="73" t="s">
        <v>82</v>
      </c>
      <c r="D12" s="74" t="s">
        <v>72</v>
      </c>
      <c r="E12" s="74" t="s">
        <v>83</v>
      </c>
      <c r="F12" s="74" t="s">
        <v>46</v>
      </c>
      <c r="G12" s="74" t="s">
        <v>84</v>
      </c>
      <c r="H12" s="74" t="s">
        <v>37</v>
      </c>
      <c r="I12" s="74"/>
      <c r="J12" s="74"/>
      <c r="K12" s="74"/>
      <c r="L12" s="74"/>
    </row>
    <row r="13" spans="1:33" ht="27" customHeight="1" thickBot="1" x14ac:dyDescent="0.25">
      <c r="A13" s="73" t="s">
        <v>85</v>
      </c>
      <c r="B13" s="73" t="s">
        <v>86</v>
      </c>
      <c r="C13" s="73" t="s">
        <v>87</v>
      </c>
      <c r="D13" s="74" t="s">
        <v>40</v>
      </c>
      <c r="E13" s="74" t="s">
        <v>40</v>
      </c>
      <c r="F13" s="74" t="s">
        <v>46</v>
      </c>
      <c r="G13" s="74" t="s">
        <v>88</v>
      </c>
      <c r="H13" s="74" t="s">
        <v>41</v>
      </c>
      <c r="I13" s="74"/>
      <c r="J13" s="74"/>
      <c r="K13" s="74"/>
      <c r="L13" s="74"/>
    </row>
    <row r="14" spans="1:33" ht="15" customHeight="1" thickBot="1" x14ac:dyDescent="0.25">
      <c r="A14" s="73" t="s">
        <v>89</v>
      </c>
      <c r="B14" s="73" t="s">
        <v>90</v>
      </c>
      <c r="C14" s="73" t="s">
        <v>91</v>
      </c>
      <c r="D14" s="74" t="s">
        <v>92</v>
      </c>
      <c r="E14" s="74" t="s">
        <v>93</v>
      </c>
      <c r="F14" s="74" t="s">
        <v>46</v>
      </c>
      <c r="G14" s="74" t="s">
        <v>94</v>
      </c>
      <c r="H14" s="74" t="s">
        <v>37</v>
      </c>
      <c r="I14" s="74"/>
      <c r="J14" s="74"/>
      <c r="K14" s="74"/>
      <c r="L14" s="74"/>
    </row>
    <row r="15" spans="1:33" ht="15" customHeight="1" thickBot="1" x14ac:dyDescent="0.25">
      <c r="A15" s="73" t="s">
        <v>95</v>
      </c>
      <c r="B15" s="73" t="s">
        <v>96</v>
      </c>
      <c r="C15" s="73" t="s">
        <v>97</v>
      </c>
      <c r="D15" s="74" t="s">
        <v>98</v>
      </c>
      <c r="E15" s="74" t="s">
        <v>99</v>
      </c>
      <c r="F15" s="74" t="s">
        <v>46</v>
      </c>
      <c r="G15" s="74" t="s">
        <v>100</v>
      </c>
      <c r="H15" s="74" t="s">
        <v>54</v>
      </c>
      <c r="I15" s="74"/>
      <c r="J15" s="74"/>
      <c r="K15" s="74"/>
      <c r="L15" s="74"/>
    </row>
    <row r="16" spans="1:33" ht="15" customHeight="1" thickBot="1" x14ac:dyDescent="0.25">
      <c r="A16" s="73" t="s">
        <v>101</v>
      </c>
      <c r="B16" s="73" t="s">
        <v>102</v>
      </c>
      <c r="C16" s="73" t="s">
        <v>103</v>
      </c>
      <c r="D16" s="74" t="s">
        <v>104</v>
      </c>
      <c r="E16" s="74" t="s">
        <v>52</v>
      </c>
      <c r="F16" s="74" t="s">
        <v>46</v>
      </c>
      <c r="G16" s="74" t="s">
        <v>105</v>
      </c>
      <c r="H16" s="74" t="s">
        <v>41</v>
      </c>
      <c r="I16" s="74"/>
      <c r="J16" s="74"/>
      <c r="K16" s="74"/>
      <c r="L16" s="74"/>
    </row>
    <row r="17" spans="1:12" ht="15" customHeight="1" thickBot="1" x14ac:dyDescent="0.25">
      <c r="A17" s="73" t="s">
        <v>59</v>
      </c>
      <c r="B17" s="73" t="s">
        <v>106</v>
      </c>
      <c r="C17" s="73" t="s">
        <v>107</v>
      </c>
      <c r="D17" s="74" t="s">
        <v>108</v>
      </c>
      <c r="E17" s="74" t="s">
        <v>40</v>
      </c>
      <c r="F17" s="74" t="s">
        <v>46</v>
      </c>
      <c r="G17" s="74" t="s">
        <v>109</v>
      </c>
      <c r="H17" s="74" t="s">
        <v>41</v>
      </c>
      <c r="I17" s="74"/>
      <c r="J17" s="74"/>
      <c r="K17" s="74"/>
      <c r="L17" s="74"/>
    </row>
    <row r="18" spans="1:12" ht="27" customHeight="1" thickBot="1" x14ac:dyDescent="0.25">
      <c r="A18" s="73" t="s">
        <v>110</v>
      </c>
      <c r="B18" s="73" t="s">
        <v>111</v>
      </c>
      <c r="C18" s="73" t="s">
        <v>112</v>
      </c>
      <c r="D18" s="74" t="s">
        <v>113</v>
      </c>
      <c r="E18" s="74" t="s">
        <v>114</v>
      </c>
      <c r="F18" s="74" t="s">
        <v>46</v>
      </c>
      <c r="G18" s="74" t="s">
        <v>115</v>
      </c>
      <c r="H18" s="74" t="s">
        <v>41</v>
      </c>
      <c r="I18" s="74"/>
      <c r="J18" s="74"/>
      <c r="K18" s="74"/>
      <c r="L18" s="74"/>
    </row>
    <row r="19" spans="1:12" ht="27" customHeight="1" thickBot="1" x14ac:dyDescent="0.25">
      <c r="A19" s="73" t="s">
        <v>116</v>
      </c>
      <c r="B19" s="73" t="s">
        <v>111</v>
      </c>
      <c r="C19" s="73" t="s">
        <v>117</v>
      </c>
      <c r="D19" s="74" t="s">
        <v>113</v>
      </c>
      <c r="E19" s="74" t="s">
        <v>118</v>
      </c>
      <c r="F19" s="74" t="s">
        <v>46</v>
      </c>
      <c r="G19" s="74" t="s">
        <v>119</v>
      </c>
      <c r="H19" s="74" t="s">
        <v>41</v>
      </c>
      <c r="I19" s="74"/>
      <c r="J19" s="74"/>
      <c r="K19" s="74"/>
      <c r="L19" s="74"/>
    </row>
    <row r="20" spans="1:12" ht="27" customHeight="1" thickBot="1" x14ac:dyDescent="0.25">
      <c r="A20" s="73" t="s">
        <v>120</v>
      </c>
      <c r="B20" s="73" t="s">
        <v>111</v>
      </c>
      <c r="C20" s="73" t="s">
        <v>121</v>
      </c>
      <c r="D20" s="74" t="s">
        <v>113</v>
      </c>
      <c r="E20" s="74" t="s">
        <v>118</v>
      </c>
      <c r="F20" s="74" t="s">
        <v>46</v>
      </c>
      <c r="G20" s="74" t="s">
        <v>122</v>
      </c>
      <c r="H20" s="74" t="s">
        <v>41</v>
      </c>
      <c r="I20" s="74"/>
      <c r="J20" s="74"/>
      <c r="K20" s="74"/>
      <c r="L20" s="74"/>
    </row>
    <row r="21" spans="1:12" ht="15" customHeight="1" thickBot="1" x14ac:dyDescent="0.25">
      <c r="A21" s="73" t="s">
        <v>123</v>
      </c>
      <c r="B21" s="73" t="s">
        <v>124</v>
      </c>
      <c r="C21" s="73" t="s">
        <v>125</v>
      </c>
      <c r="D21" s="74" t="s">
        <v>126</v>
      </c>
      <c r="E21" s="74" t="s">
        <v>40</v>
      </c>
      <c r="F21" s="74" t="s">
        <v>46</v>
      </c>
      <c r="G21" s="74" t="s">
        <v>127</v>
      </c>
      <c r="H21" s="74" t="s">
        <v>41</v>
      </c>
      <c r="I21" s="74"/>
      <c r="J21" s="74"/>
      <c r="K21" s="74"/>
      <c r="L21" s="74"/>
    </row>
    <row r="22" spans="1:12" ht="15" customHeight="1" thickBot="1" x14ac:dyDescent="0.25">
      <c r="A22" s="73" t="s">
        <v>128</v>
      </c>
      <c r="B22" s="73" t="s">
        <v>129</v>
      </c>
      <c r="C22" s="73" t="s">
        <v>130</v>
      </c>
      <c r="D22" s="74" t="s">
        <v>40</v>
      </c>
      <c r="E22" s="74" t="s">
        <v>131</v>
      </c>
      <c r="F22" s="74" t="s">
        <v>132</v>
      </c>
      <c r="G22" s="74" t="s">
        <v>133</v>
      </c>
      <c r="H22" s="74" t="s">
        <v>37</v>
      </c>
      <c r="I22" s="74"/>
      <c r="J22" s="74"/>
      <c r="K22" s="74"/>
      <c r="L22" s="74"/>
    </row>
    <row r="23" spans="1:12" ht="15" customHeight="1" thickBot="1" x14ac:dyDescent="0.25">
      <c r="A23" s="73" t="s">
        <v>134</v>
      </c>
      <c r="B23" s="73" t="s">
        <v>135</v>
      </c>
      <c r="C23" s="73" t="s">
        <v>136</v>
      </c>
      <c r="D23" s="74" t="s">
        <v>137</v>
      </c>
      <c r="E23" s="74" t="s">
        <v>138</v>
      </c>
      <c r="F23" s="74" t="s">
        <v>132</v>
      </c>
      <c r="G23" s="74" t="s">
        <v>136</v>
      </c>
      <c r="H23" s="74" t="s">
        <v>37</v>
      </c>
      <c r="I23" s="74"/>
      <c r="J23" s="74"/>
      <c r="K23" s="74"/>
      <c r="L23" s="74"/>
    </row>
    <row r="24" spans="1:12" ht="27" customHeight="1" thickBot="1" x14ac:dyDescent="0.25">
      <c r="A24" s="73" t="s">
        <v>139</v>
      </c>
      <c r="B24" s="73" t="s">
        <v>140</v>
      </c>
      <c r="C24" s="73" t="s">
        <v>141</v>
      </c>
      <c r="D24" s="74" t="s">
        <v>142</v>
      </c>
      <c r="E24" s="74" t="s">
        <v>40</v>
      </c>
      <c r="F24" s="74" t="s">
        <v>143</v>
      </c>
      <c r="G24" s="74" t="s">
        <v>144</v>
      </c>
      <c r="H24" s="74" t="s">
        <v>37</v>
      </c>
      <c r="I24" s="74"/>
      <c r="J24" s="74"/>
      <c r="K24" s="74"/>
      <c r="L24" s="74"/>
    </row>
    <row r="25" spans="1:12" ht="15" customHeight="1" thickBot="1" x14ac:dyDescent="0.25">
      <c r="A25" s="73" t="s">
        <v>145</v>
      </c>
      <c r="B25" s="73" t="s">
        <v>146</v>
      </c>
      <c r="C25" s="73" t="s">
        <v>147</v>
      </c>
      <c r="D25" s="74" t="s">
        <v>40</v>
      </c>
      <c r="E25" s="74" t="s">
        <v>40</v>
      </c>
      <c r="F25" s="74" t="s">
        <v>143</v>
      </c>
      <c r="G25" s="74" t="s">
        <v>148</v>
      </c>
      <c r="H25" s="74" t="s">
        <v>41</v>
      </c>
      <c r="I25" s="74"/>
      <c r="J25" s="74"/>
      <c r="K25" s="74"/>
      <c r="L25" s="74"/>
    </row>
    <row r="26" spans="1:12" ht="15" customHeight="1" thickBot="1" x14ac:dyDescent="0.25">
      <c r="A26" s="73" t="s">
        <v>149</v>
      </c>
      <c r="B26" s="73" t="s">
        <v>150</v>
      </c>
      <c r="C26" s="73" t="s">
        <v>151</v>
      </c>
      <c r="D26" s="74" t="s">
        <v>152</v>
      </c>
      <c r="E26" s="74" t="s">
        <v>153</v>
      </c>
      <c r="F26" s="74" t="s">
        <v>143</v>
      </c>
      <c r="G26" s="74" t="s">
        <v>154</v>
      </c>
      <c r="H26" s="74" t="s">
        <v>37</v>
      </c>
      <c r="I26" s="74"/>
      <c r="J26" s="74"/>
      <c r="K26" s="74"/>
      <c r="L26" s="74"/>
    </row>
    <row r="27" spans="1:12" ht="15" customHeight="1" thickBot="1" x14ac:dyDescent="0.25">
      <c r="A27" s="73" t="s">
        <v>155</v>
      </c>
      <c r="B27" s="73" t="s">
        <v>156</v>
      </c>
      <c r="C27" s="73" t="s">
        <v>157</v>
      </c>
      <c r="D27" s="74" t="s">
        <v>40</v>
      </c>
      <c r="E27" s="74" t="s">
        <v>40</v>
      </c>
      <c r="F27" s="74" t="s">
        <v>158</v>
      </c>
      <c r="G27" s="74" t="s">
        <v>40</v>
      </c>
      <c r="H27" s="74" t="s">
        <v>37</v>
      </c>
      <c r="I27" s="74"/>
      <c r="J27" s="74"/>
      <c r="K27" s="74"/>
      <c r="L27" s="74"/>
    </row>
    <row r="28" spans="1:12" ht="15" customHeight="1" thickBot="1" x14ac:dyDescent="0.25">
      <c r="A28" s="73" t="s">
        <v>159</v>
      </c>
      <c r="B28" s="73" t="s">
        <v>160</v>
      </c>
      <c r="C28" s="73" t="s">
        <v>161</v>
      </c>
      <c r="D28" s="74" t="s">
        <v>40</v>
      </c>
      <c r="E28" s="74" t="s">
        <v>40</v>
      </c>
      <c r="F28" s="74" t="s">
        <v>162</v>
      </c>
      <c r="G28" s="74" t="s">
        <v>163</v>
      </c>
      <c r="H28" s="74" t="s">
        <v>164</v>
      </c>
      <c r="I28" s="74"/>
      <c r="J28" s="74"/>
      <c r="K28" s="74"/>
      <c r="L28" s="74"/>
    </row>
    <row r="29" spans="1:12" ht="27" customHeight="1" thickBot="1" x14ac:dyDescent="0.25">
      <c r="A29" s="73" t="s">
        <v>165</v>
      </c>
      <c r="B29" s="73" t="s">
        <v>166</v>
      </c>
      <c r="C29" s="73" t="s">
        <v>167</v>
      </c>
      <c r="D29" s="74" t="s">
        <v>40</v>
      </c>
      <c r="E29" s="74" t="s">
        <v>40</v>
      </c>
      <c r="F29" s="74" t="s">
        <v>162</v>
      </c>
      <c r="G29" s="74" t="s">
        <v>168</v>
      </c>
      <c r="H29" s="74" t="s">
        <v>169</v>
      </c>
      <c r="I29" s="74"/>
      <c r="J29" s="74"/>
      <c r="K29" s="74"/>
      <c r="L29" s="74"/>
    </row>
    <row r="30" spans="1:12" ht="27" customHeight="1" thickBot="1" x14ac:dyDescent="0.25">
      <c r="A30" s="73" t="s">
        <v>170</v>
      </c>
      <c r="B30" s="73" t="s">
        <v>171</v>
      </c>
      <c r="C30" s="73" t="s">
        <v>172</v>
      </c>
      <c r="D30" s="74" t="s">
        <v>40</v>
      </c>
      <c r="E30" s="74" t="s">
        <v>40</v>
      </c>
      <c r="F30" s="74" t="s">
        <v>162</v>
      </c>
      <c r="G30" s="74" t="s">
        <v>173</v>
      </c>
      <c r="H30" s="74" t="s">
        <v>174</v>
      </c>
      <c r="I30" s="74"/>
      <c r="J30" s="74"/>
      <c r="K30" s="74"/>
      <c r="L30" s="74"/>
    </row>
    <row r="31" spans="1:12" ht="15" customHeight="1" thickBot="1" x14ac:dyDescent="0.25">
      <c r="A31" s="73" t="s">
        <v>175</v>
      </c>
      <c r="B31" s="73" t="s">
        <v>176</v>
      </c>
      <c r="C31" s="73" t="s">
        <v>177</v>
      </c>
      <c r="D31" s="74" t="s">
        <v>40</v>
      </c>
      <c r="E31" s="74" t="s">
        <v>40</v>
      </c>
      <c r="F31" s="74" t="s">
        <v>162</v>
      </c>
      <c r="G31" s="74" t="s">
        <v>178</v>
      </c>
      <c r="H31" s="74" t="s">
        <v>134</v>
      </c>
      <c r="I31" s="74"/>
      <c r="J31" s="74"/>
      <c r="K31" s="74"/>
      <c r="L31" s="74"/>
    </row>
    <row r="32" spans="1:12" ht="15" customHeight="1" thickBot="1" x14ac:dyDescent="0.25">
      <c r="A32" s="73" t="s">
        <v>179</v>
      </c>
      <c r="B32" s="73" t="s">
        <v>180</v>
      </c>
      <c r="C32" s="73" t="s">
        <v>181</v>
      </c>
      <c r="D32" s="74" t="s">
        <v>40</v>
      </c>
      <c r="E32" s="74" t="s">
        <v>40</v>
      </c>
      <c r="F32" s="74" t="s">
        <v>162</v>
      </c>
      <c r="G32" s="74" t="s">
        <v>182</v>
      </c>
      <c r="H32" s="74" t="s">
        <v>183</v>
      </c>
      <c r="I32" s="74"/>
      <c r="J32" s="74"/>
      <c r="K32" s="74"/>
      <c r="L32" s="74"/>
    </row>
    <row r="33" spans="1:12" ht="15" customHeight="1" thickBot="1" x14ac:dyDescent="0.25">
      <c r="A33" s="73" t="s">
        <v>184</v>
      </c>
      <c r="B33" s="73" t="s">
        <v>185</v>
      </c>
      <c r="C33" s="73" t="s">
        <v>186</v>
      </c>
      <c r="D33" s="74" t="s">
        <v>40</v>
      </c>
      <c r="E33" s="74" t="s">
        <v>187</v>
      </c>
      <c r="F33" s="74" t="s">
        <v>162</v>
      </c>
      <c r="G33" s="74" t="s">
        <v>188</v>
      </c>
      <c r="H33" s="74" t="s">
        <v>54</v>
      </c>
      <c r="I33" s="74"/>
      <c r="J33" s="74"/>
      <c r="K33" s="74"/>
      <c r="L33" s="74"/>
    </row>
    <row r="34" spans="1:12" ht="15" customHeight="1" thickBot="1" x14ac:dyDescent="0.25">
      <c r="A34" s="73" t="s">
        <v>189</v>
      </c>
      <c r="B34" s="73" t="s">
        <v>190</v>
      </c>
      <c r="C34" s="73" t="s">
        <v>191</v>
      </c>
      <c r="D34" s="74" t="s">
        <v>40</v>
      </c>
      <c r="E34" s="74" t="s">
        <v>40</v>
      </c>
      <c r="F34" s="74" t="s">
        <v>162</v>
      </c>
      <c r="G34" s="74" t="s">
        <v>192</v>
      </c>
      <c r="H34" s="74" t="s">
        <v>145</v>
      </c>
      <c r="I34" s="74"/>
      <c r="J34" s="74"/>
      <c r="K34" s="74"/>
      <c r="L34" s="74"/>
    </row>
    <row r="35" spans="1:12" ht="27" customHeight="1" thickBot="1" x14ac:dyDescent="0.25">
      <c r="A35" s="73" t="s">
        <v>193</v>
      </c>
      <c r="B35" s="73" t="s">
        <v>194</v>
      </c>
      <c r="C35" s="73" t="s">
        <v>195</v>
      </c>
      <c r="D35" s="74" t="s">
        <v>40</v>
      </c>
      <c r="E35" s="74" t="s">
        <v>40</v>
      </c>
      <c r="F35" s="74" t="s">
        <v>162</v>
      </c>
      <c r="G35" s="74" t="s">
        <v>196</v>
      </c>
      <c r="H35" s="74" t="s">
        <v>193</v>
      </c>
      <c r="I35" s="74"/>
      <c r="J35" s="74"/>
      <c r="K35" s="74"/>
      <c r="L35" s="74"/>
    </row>
    <row r="36" spans="1:12" ht="15" customHeight="1" thickBot="1" x14ac:dyDescent="0.25">
      <c r="A36" s="73" t="s">
        <v>197</v>
      </c>
      <c r="B36" s="73" t="s">
        <v>198</v>
      </c>
      <c r="C36" s="73" t="s">
        <v>199</v>
      </c>
      <c r="D36" s="74" t="s">
        <v>40</v>
      </c>
      <c r="E36" s="74" t="s">
        <v>40</v>
      </c>
      <c r="F36" s="74" t="s">
        <v>162</v>
      </c>
      <c r="G36" s="74" t="s">
        <v>200</v>
      </c>
      <c r="H36" s="74" t="s">
        <v>193</v>
      </c>
      <c r="I36" s="74"/>
      <c r="J36" s="74"/>
      <c r="K36" s="74"/>
      <c r="L36" s="74"/>
    </row>
    <row r="37" spans="1:12" ht="15" customHeight="1" thickBot="1" x14ac:dyDescent="0.25">
      <c r="A37" s="73" t="s">
        <v>201</v>
      </c>
      <c r="B37" s="73" t="s">
        <v>202</v>
      </c>
      <c r="C37" s="73" t="s">
        <v>203</v>
      </c>
      <c r="D37" s="74" t="s">
        <v>40</v>
      </c>
      <c r="E37" s="74" t="s">
        <v>40</v>
      </c>
      <c r="F37" s="74" t="s">
        <v>162</v>
      </c>
      <c r="G37" s="74" t="s">
        <v>204</v>
      </c>
      <c r="H37" s="74" t="s">
        <v>41</v>
      </c>
      <c r="I37" s="74"/>
      <c r="J37" s="74"/>
      <c r="K37" s="74"/>
      <c r="L37" s="74"/>
    </row>
    <row r="38" spans="1:12" ht="15" customHeight="1" thickBot="1" x14ac:dyDescent="0.25">
      <c r="A38" s="73" t="s">
        <v>205</v>
      </c>
      <c r="B38" s="73" t="s">
        <v>206</v>
      </c>
      <c r="C38" s="73" t="s">
        <v>207</v>
      </c>
      <c r="D38" s="74" t="s">
        <v>40</v>
      </c>
      <c r="E38" s="74" t="s">
        <v>40</v>
      </c>
      <c r="F38" s="74" t="s">
        <v>162</v>
      </c>
      <c r="G38" s="74" t="s">
        <v>208</v>
      </c>
      <c r="H38" s="74" t="s">
        <v>37</v>
      </c>
      <c r="I38" s="74"/>
      <c r="J38" s="74"/>
      <c r="K38" s="74"/>
      <c r="L38" s="74"/>
    </row>
    <row r="39" spans="1:12" ht="15" customHeight="1" thickBot="1" x14ac:dyDescent="0.25">
      <c r="A39" s="73" t="s">
        <v>164</v>
      </c>
      <c r="B39" s="73" t="s">
        <v>209</v>
      </c>
      <c r="C39" s="73" t="s">
        <v>210</v>
      </c>
      <c r="D39" s="74" t="s">
        <v>40</v>
      </c>
      <c r="E39" s="74" t="s">
        <v>40</v>
      </c>
      <c r="F39" s="74" t="s">
        <v>162</v>
      </c>
      <c r="G39" s="74" t="s">
        <v>192</v>
      </c>
      <c r="H39" s="74" t="s">
        <v>145</v>
      </c>
      <c r="I39" s="74"/>
      <c r="J39" s="74"/>
      <c r="K39" s="74"/>
      <c r="L39" s="74"/>
    </row>
    <row r="40" spans="1:12" ht="27" customHeight="1" thickBot="1" x14ac:dyDescent="0.25">
      <c r="A40" s="73" t="s">
        <v>211</v>
      </c>
      <c r="B40" s="73" t="s">
        <v>212</v>
      </c>
      <c r="C40" s="73" t="s">
        <v>213</v>
      </c>
      <c r="D40" s="74" t="s">
        <v>214</v>
      </c>
      <c r="E40" s="74" t="s">
        <v>40</v>
      </c>
      <c r="F40" s="74" t="s">
        <v>215</v>
      </c>
      <c r="G40" s="74" t="s">
        <v>40</v>
      </c>
      <c r="H40" s="74" t="s">
        <v>37</v>
      </c>
      <c r="I40" s="74"/>
      <c r="J40" s="74"/>
      <c r="K40" s="74"/>
      <c r="L40" s="74"/>
    </row>
    <row r="41" spans="1:12" ht="27" customHeight="1" thickBot="1" x14ac:dyDescent="0.25">
      <c r="A41" s="73" t="s">
        <v>216</v>
      </c>
      <c r="B41" s="73" t="s">
        <v>212</v>
      </c>
      <c r="C41" s="73" t="s">
        <v>217</v>
      </c>
      <c r="D41" s="74" t="s">
        <v>214</v>
      </c>
      <c r="E41" s="74" t="s">
        <v>40</v>
      </c>
      <c r="F41" s="74" t="s">
        <v>215</v>
      </c>
      <c r="G41" s="74" t="s">
        <v>40</v>
      </c>
      <c r="H41" s="74" t="s">
        <v>64</v>
      </c>
      <c r="I41" s="74"/>
      <c r="J41" s="74"/>
      <c r="K41" s="74"/>
      <c r="L41" s="74"/>
    </row>
    <row r="42" spans="1:12" ht="15" customHeight="1" thickBot="1" x14ac:dyDescent="0.25">
      <c r="A42" s="73" t="s">
        <v>218</v>
      </c>
      <c r="B42" s="73" t="s">
        <v>219</v>
      </c>
      <c r="C42" s="73" t="s">
        <v>220</v>
      </c>
      <c r="D42" s="74" t="s">
        <v>221</v>
      </c>
      <c r="E42" s="74" t="s">
        <v>222</v>
      </c>
      <c r="F42" s="74" t="s">
        <v>215</v>
      </c>
      <c r="G42" s="74" t="s">
        <v>213</v>
      </c>
      <c r="H42" s="74" t="s">
        <v>54</v>
      </c>
      <c r="I42" s="74"/>
      <c r="J42" s="74"/>
      <c r="K42" s="74"/>
      <c r="L42" s="74"/>
    </row>
    <row r="43" spans="1:12" ht="15" customHeight="1" x14ac:dyDescent="0.2">
      <c r="A43" s="75" t="s">
        <v>223</v>
      </c>
      <c r="B43" s="75" t="s">
        <v>219</v>
      </c>
      <c r="C43" s="75" t="s">
        <v>224</v>
      </c>
      <c r="D43" s="76" t="s">
        <v>225</v>
      </c>
      <c r="E43" s="76" t="s">
        <v>222</v>
      </c>
      <c r="F43" s="76" t="s">
        <v>215</v>
      </c>
      <c r="G43" s="76" t="s">
        <v>217</v>
      </c>
      <c r="H43" s="76" t="s">
        <v>226</v>
      </c>
      <c r="I43" s="76"/>
      <c r="J43" s="76"/>
      <c r="K43" s="76"/>
      <c r="L43" s="76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/>
  <headerFooter>
    <oddHeader xml:space="preserve">&amp;L&amp;"ABB Logo,Plain"&amp;42ABB&amp;20
&amp;"Arial,Regular"&amp;11ABB Suiza SA&amp;C&amp;14Bill of Material&amp;R&amp;14
</oddHeader>
    <oddFooter>&amp;L&amp;11Prepared / M. G. PRESTA
Approved / F. DEL CARLO&amp;R&amp;11&amp;F
Date: &amp;D &amp; =IF(1 &lt;&gt;""; Rev. ind.: 1; "")
Sheet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G43"/>
  <sheetViews>
    <sheetView zoomScaleNormal="100" zoomScaleSheetLayoutView="100" workbookViewId="0">
      <pane ySplit="3" topLeftCell="A4" activePane="bottomLeft" state="frozen"/>
      <selection pane="bottomLeft"/>
    </sheetView>
  </sheetViews>
  <sheetFormatPr defaultRowHeight="12.75" x14ac:dyDescent="0.2"/>
  <cols>
    <col min="1" max="1" width="5.5703125" style="66" customWidth="1"/>
    <col min="2" max="2" width="27.140625" style="66" customWidth="1"/>
    <col min="3" max="3" width="32.5703125" style="66" customWidth="1"/>
    <col min="4" max="4" width="22.5703125" style="66" customWidth="1"/>
    <col min="5" max="5" width="22.7109375" style="66" customWidth="1"/>
    <col min="6" max="6" width="20.5703125" style="66" customWidth="1"/>
    <col min="7" max="7" width="22.5703125" style="66" customWidth="1"/>
    <col min="8" max="8" width="9.140625" style="66" customWidth="1"/>
    <col min="9" max="9" width="8.5703125" style="66" customWidth="1"/>
    <col min="10" max="10" width="17.5703125" style="66" customWidth="1"/>
    <col min="11" max="11" width="21.7109375" style="66" customWidth="1"/>
    <col min="12" max="12" width="6.5703125" style="66" customWidth="1"/>
    <col min="13" max="13" width="28.5703125" style="66" customWidth="1"/>
  </cols>
  <sheetData>
    <row r="1" spans="1:33" x14ac:dyDescent="0.2">
      <c r="C1" s="54"/>
      <c r="D1" s="66" t="s">
        <v>227</v>
      </c>
      <c r="E1" s="66">
        <v>1</v>
      </c>
    </row>
    <row r="2" spans="1:33" s="19" customFormat="1" ht="25.15" customHeight="1" x14ac:dyDescent="0.25">
      <c r="A2" s="142"/>
      <c r="B2" s="142"/>
      <c r="C2" s="142"/>
      <c r="D2" s="142"/>
      <c r="E2" s="142"/>
      <c r="F2" s="142"/>
      <c r="G2" s="142"/>
      <c r="H2" s="142"/>
      <c r="I2" s="142"/>
      <c r="J2" s="142"/>
      <c r="K2" s="49"/>
      <c r="L2" s="44"/>
      <c r="M2" s="22"/>
      <c r="N2" s="22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</row>
    <row r="3" spans="1:33" ht="36" customHeight="1" thickBot="1" x14ac:dyDescent="0.25">
      <c r="A3" s="65" t="s">
        <v>14</v>
      </c>
      <c r="B3" s="65" t="s">
        <v>0</v>
      </c>
      <c r="C3" s="65" t="s">
        <v>30</v>
      </c>
      <c r="D3" s="65" t="s">
        <v>5</v>
      </c>
      <c r="E3" s="65" t="s">
        <v>26</v>
      </c>
      <c r="F3" s="65" t="s">
        <v>31</v>
      </c>
      <c r="G3" s="65" t="s">
        <v>16</v>
      </c>
      <c r="H3" s="65" t="s">
        <v>35</v>
      </c>
      <c r="I3" s="65" t="s">
        <v>36</v>
      </c>
      <c r="J3" s="65" t="s">
        <v>33</v>
      </c>
      <c r="K3" s="65" t="s">
        <v>34</v>
      </c>
      <c r="L3" s="65" t="s">
        <v>17</v>
      </c>
    </row>
    <row r="4" spans="1:33" ht="15" customHeight="1" thickBot="1" x14ac:dyDescent="0.25">
      <c r="A4" s="73" t="s">
        <v>37</v>
      </c>
      <c r="B4" s="73" t="s">
        <v>38</v>
      </c>
      <c r="C4" s="73" t="s">
        <v>39</v>
      </c>
      <c r="D4" s="74" t="s">
        <v>40</v>
      </c>
      <c r="E4" s="74" t="s">
        <v>40</v>
      </c>
      <c r="F4" s="74" t="s">
        <v>40</v>
      </c>
      <c r="G4" s="74" t="s">
        <v>40</v>
      </c>
      <c r="H4" s="74" t="s">
        <v>37</v>
      </c>
      <c r="I4" s="74"/>
      <c r="J4" s="74"/>
      <c r="K4" s="74"/>
      <c r="L4" s="74"/>
    </row>
    <row r="5" spans="1:33" ht="27" customHeight="1" thickBot="1" x14ac:dyDescent="0.25">
      <c r="A5" s="73" t="s">
        <v>41</v>
      </c>
      <c r="B5" s="73" t="s">
        <v>42</v>
      </c>
      <c r="C5" s="73" t="s">
        <v>43</v>
      </c>
      <c r="D5" s="74" t="s">
        <v>44</v>
      </c>
      <c r="E5" s="74" t="s">
        <v>45</v>
      </c>
      <c r="F5" s="74" t="s">
        <v>46</v>
      </c>
      <c r="G5" s="74" t="s">
        <v>47</v>
      </c>
      <c r="H5" s="74" t="s">
        <v>41</v>
      </c>
      <c r="I5" s="74"/>
      <c r="J5" s="74"/>
      <c r="K5" s="74"/>
      <c r="L5" s="74"/>
    </row>
    <row r="6" spans="1:33" ht="15" customHeight="1" thickBot="1" x14ac:dyDescent="0.25">
      <c r="A6" s="73" t="s">
        <v>48</v>
      </c>
      <c r="B6" s="73" t="s">
        <v>49</v>
      </c>
      <c r="C6" s="73" t="s">
        <v>50</v>
      </c>
      <c r="D6" s="74" t="s">
        <v>51</v>
      </c>
      <c r="E6" s="74" t="s">
        <v>52</v>
      </c>
      <c r="F6" s="74" t="s">
        <v>46</v>
      </c>
      <c r="G6" s="74" t="s">
        <v>53</v>
      </c>
      <c r="H6" s="74" t="s">
        <v>41</v>
      </c>
      <c r="I6" s="74"/>
      <c r="J6" s="74"/>
      <c r="K6" s="74"/>
      <c r="L6" s="74"/>
    </row>
    <row r="7" spans="1:33" ht="15" customHeight="1" thickBot="1" x14ac:dyDescent="0.25">
      <c r="A7" s="73" t="s">
        <v>54</v>
      </c>
      <c r="B7" s="73" t="s">
        <v>49</v>
      </c>
      <c r="C7" s="73" t="s">
        <v>55</v>
      </c>
      <c r="D7" s="74" t="s">
        <v>56</v>
      </c>
      <c r="E7" s="74" t="s">
        <v>57</v>
      </c>
      <c r="F7" s="74" t="s">
        <v>46</v>
      </c>
      <c r="G7" s="74" t="s">
        <v>58</v>
      </c>
      <c r="H7" s="74" t="s">
        <v>59</v>
      </c>
      <c r="I7" s="74"/>
      <c r="J7" s="74"/>
      <c r="K7" s="74"/>
      <c r="L7" s="74"/>
    </row>
    <row r="8" spans="1:33" ht="15" customHeight="1" thickBot="1" x14ac:dyDescent="0.25">
      <c r="A8" s="73" t="s">
        <v>60</v>
      </c>
      <c r="B8" s="73" t="s">
        <v>49</v>
      </c>
      <c r="C8" s="73" t="s">
        <v>61</v>
      </c>
      <c r="D8" s="74" t="s">
        <v>56</v>
      </c>
      <c r="E8" s="74" t="s">
        <v>62</v>
      </c>
      <c r="F8" s="74" t="s">
        <v>46</v>
      </c>
      <c r="G8" s="74" t="s">
        <v>63</v>
      </c>
      <c r="H8" s="74" t="s">
        <v>41</v>
      </c>
      <c r="I8" s="74"/>
      <c r="J8" s="74"/>
      <c r="K8" s="74"/>
      <c r="L8" s="74"/>
    </row>
    <row r="9" spans="1:33" ht="15" customHeight="1" thickBot="1" x14ac:dyDescent="0.25">
      <c r="A9" s="73" t="s">
        <v>64</v>
      </c>
      <c r="B9" s="73" t="s">
        <v>65</v>
      </c>
      <c r="C9" s="73" t="s">
        <v>66</v>
      </c>
      <c r="D9" s="74" t="s">
        <v>67</v>
      </c>
      <c r="E9" s="74" t="s">
        <v>52</v>
      </c>
      <c r="F9" s="74" t="s">
        <v>46</v>
      </c>
      <c r="G9" s="74" t="s">
        <v>68</v>
      </c>
      <c r="H9" s="74" t="s">
        <v>41</v>
      </c>
      <c r="I9" s="74"/>
      <c r="J9" s="74"/>
      <c r="K9" s="74"/>
      <c r="L9" s="74"/>
    </row>
    <row r="10" spans="1:33" ht="15" customHeight="1" thickBot="1" x14ac:dyDescent="0.25">
      <c r="A10" s="73" t="s">
        <v>69</v>
      </c>
      <c r="B10" s="73" t="s">
        <v>70</v>
      </c>
      <c r="C10" s="73" t="s">
        <v>71</v>
      </c>
      <c r="D10" s="74" t="s">
        <v>72</v>
      </c>
      <c r="E10" s="74" t="s">
        <v>40</v>
      </c>
      <c r="F10" s="74" t="s">
        <v>46</v>
      </c>
      <c r="G10" s="74" t="s">
        <v>73</v>
      </c>
      <c r="H10" s="74" t="s">
        <v>48</v>
      </c>
      <c r="I10" s="74"/>
      <c r="J10" s="74"/>
      <c r="K10" s="74"/>
      <c r="L10" s="74"/>
    </row>
    <row r="11" spans="1:33" ht="27" customHeight="1" thickBot="1" x14ac:dyDescent="0.25">
      <c r="A11" s="73" t="s">
        <v>74</v>
      </c>
      <c r="B11" s="73" t="s">
        <v>75</v>
      </c>
      <c r="C11" s="73" t="s">
        <v>76</v>
      </c>
      <c r="D11" s="74" t="s">
        <v>77</v>
      </c>
      <c r="E11" s="74" t="s">
        <v>78</v>
      </c>
      <c r="F11" s="74" t="s">
        <v>46</v>
      </c>
      <c r="G11" s="74" t="s">
        <v>79</v>
      </c>
      <c r="H11" s="74" t="s">
        <v>41</v>
      </c>
      <c r="I11" s="74"/>
      <c r="J11" s="74"/>
      <c r="K11" s="74"/>
      <c r="L11" s="74"/>
    </row>
    <row r="12" spans="1:33" ht="27" customHeight="1" thickBot="1" x14ac:dyDescent="0.25">
      <c r="A12" s="73" t="s">
        <v>80</v>
      </c>
      <c r="B12" s="73" t="s">
        <v>81</v>
      </c>
      <c r="C12" s="73" t="s">
        <v>82</v>
      </c>
      <c r="D12" s="74" t="s">
        <v>72</v>
      </c>
      <c r="E12" s="74" t="s">
        <v>83</v>
      </c>
      <c r="F12" s="74" t="s">
        <v>46</v>
      </c>
      <c r="G12" s="74" t="s">
        <v>84</v>
      </c>
      <c r="H12" s="74" t="s">
        <v>37</v>
      </c>
      <c r="I12" s="74"/>
      <c r="J12" s="74"/>
      <c r="K12" s="74"/>
      <c r="L12" s="74"/>
    </row>
    <row r="13" spans="1:33" ht="27" customHeight="1" thickBot="1" x14ac:dyDescent="0.25">
      <c r="A13" s="73" t="s">
        <v>85</v>
      </c>
      <c r="B13" s="73" t="s">
        <v>86</v>
      </c>
      <c r="C13" s="73" t="s">
        <v>87</v>
      </c>
      <c r="D13" s="74" t="s">
        <v>40</v>
      </c>
      <c r="E13" s="74" t="s">
        <v>40</v>
      </c>
      <c r="F13" s="74" t="s">
        <v>46</v>
      </c>
      <c r="G13" s="74" t="s">
        <v>88</v>
      </c>
      <c r="H13" s="74" t="s">
        <v>41</v>
      </c>
      <c r="I13" s="74"/>
      <c r="J13" s="74"/>
      <c r="K13" s="74"/>
      <c r="L13" s="74"/>
    </row>
    <row r="14" spans="1:33" ht="15" customHeight="1" thickBot="1" x14ac:dyDescent="0.25">
      <c r="A14" s="73" t="s">
        <v>89</v>
      </c>
      <c r="B14" s="73" t="s">
        <v>90</v>
      </c>
      <c r="C14" s="73" t="s">
        <v>91</v>
      </c>
      <c r="D14" s="74" t="s">
        <v>92</v>
      </c>
      <c r="E14" s="74" t="s">
        <v>93</v>
      </c>
      <c r="F14" s="74" t="s">
        <v>46</v>
      </c>
      <c r="G14" s="74" t="s">
        <v>94</v>
      </c>
      <c r="H14" s="74" t="s">
        <v>37</v>
      </c>
      <c r="I14" s="74"/>
      <c r="J14" s="74"/>
      <c r="K14" s="74"/>
      <c r="L14" s="74"/>
    </row>
    <row r="15" spans="1:33" ht="15" customHeight="1" thickBot="1" x14ac:dyDescent="0.25">
      <c r="A15" s="73" t="s">
        <v>95</v>
      </c>
      <c r="B15" s="73" t="s">
        <v>96</v>
      </c>
      <c r="C15" s="73" t="s">
        <v>97</v>
      </c>
      <c r="D15" s="74" t="s">
        <v>98</v>
      </c>
      <c r="E15" s="74" t="s">
        <v>99</v>
      </c>
      <c r="F15" s="74" t="s">
        <v>46</v>
      </c>
      <c r="G15" s="74" t="s">
        <v>100</v>
      </c>
      <c r="H15" s="74" t="s">
        <v>54</v>
      </c>
      <c r="I15" s="74"/>
      <c r="J15" s="74"/>
      <c r="K15" s="74"/>
      <c r="L15" s="74"/>
    </row>
    <row r="16" spans="1:33" ht="15" customHeight="1" thickBot="1" x14ac:dyDescent="0.25">
      <c r="A16" s="73" t="s">
        <v>101</v>
      </c>
      <c r="B16" s="73" t="s">
        <v>102</v>
      </c>
      <c r="C16" s="73" t="s">
        <v>103</v>
      </c>
      <c r="D16" s="74" t="s">
        <v>104</v>
      </c>
      <c r="E16" s="74" t="s">
        <v>52</v>
      </c>
      <c r="F16" s="74" t="s">
        <v>46</v>
      </c>
      <c r="G16" s="74" t="s">
        <v>105</v>
      </c>
      <c r="H16" s="74" t="s">
        <v>41</v>
      </c>
      <c r="I16" s="74"/>
      <c r="J16" s="74"/>
      <c r="K16" s="74"/>
      <c r="L16" s="74"/>
    </row>
    <row r="17" spans="1:12" ht="15" customHeight="1" thickBot="1" x14ac:dyDescent="0.25">
      <c r="A17" s="73" t="s">
        <v>59</v>
      </c>
      <c r="B17" s="73" t="s">
        <v>106</v>
      </c>
      <c r="C17" s="73" t="s">
        <v>107</v>
      </c>
      <c r="D17" s="74" t="s">
        <v>108</v>
      </c>
      <c r="E17" s="74" t="s">
        <v>40</v>
      </c>
      <c r="F17" s="74" t="s">
        <v>46</v>
      </c>
      <c r="G17" s="74" t="s">
        <v>109</v>
      </c>
      <c r="H17" s="74" t="s">
        <v>41</v>
      </c>
      <c r="I17" s="74"/>
      <c r="J17" s="74"/>
      <c r="K17" s="74"/>
      <c r="L17" s="74"/>
    </row>
    <row r="18" spans="1:12" ht="27" customHeight="1" thickBot="1" x14ac:dyDescent="0.25">
      <c r="A18" s="73" t="s">
        <v>110</v>
      </c>
      <c r="B18" s="73" t="s">
        <v>111</v>
      </c>
      <c r="C18" s="73" t="s">
        <v>112</v>
      </c>
      <c r="D18" s="74" t="s">
        <v>113</v>
      </c>
      <c r="E18" s="74" t="s">
        <v>114</v>
      </c>
      <c r="F18" s="74" t="s">
        <v>46</v>
      </c>
      <c r="G18" s="74" t="s">
        <v>115</v>
      </c>
      <c r="H18" s="74" t="s">
        <v>41</v>
      </c>
      <c r="I18" s="74"/>
      <c r="J18" s="74"/>
      <c r="K18" s="74"/>
      <c r="L18" s="74"/>
    </row>
    <row r="19" spans="1:12" ht="27" customHeight="1" thickBot="1" x14ac:dyDescent="0.25">
      <c r="A19" s="73" t="s">
        <v>116</v>
      </c>
      <c r="B19" s="73" t="s">
        <v>111</v>
      </c>
      <c r="C19" s="73" t="s">
        <v>117</v>
      </c>
      <c r="D19" s="74" t="s">
        <v>113</v>
      </c>
      <c r="E19" s="74" t="s">
        <v>118</v>
      </c>
      <c r="F19" s="74" t="s">
        <v>46</v>
      </c>
      <c r="G19" s="74" t="s">
        <v>119</v>
      </c>
      <c r="H19" s="74" t="s">
        <v>41</v>
      </c>
      <c r="I19" s="74"/>
      <c r="J19" s="74"/>
      <c r="K19" s="74"/>
      <c r="L19" s="74"/>
    </row>
    <row r="20" spans="1:12" ht="27" customHeight="1" thickBot="1" x14ac:dyDescent="0.25">
      <c r="A20" s="73" t="s">
        <v>120</v>
      </c>
      <c r="B20" s="73" t="s">
        <v>111</v>
      </c>
      <c r="C20" s="73" t="s">
        <v>121</v>
      </c>
      <c r="D20" s="74" t="s">
        <v>113</v>
      </c>
      <c r="E20" s="74" t="s">
        <v>118</v>
      </c>
      <c r="F20" s="74" t="s">
        <v>46</v>
      </c>
      <c r="G20" s="74" t="s">
        <v>122</v>
      </c>
      <c r="H20" s="74" t="s">
        <v>41</v>
      </c>
      <c r="I20" s="74"/>
      <c r="J20" s="74"/>
      <c r="K20" s="74"/>
      <c r="L20" s="74"/>
    </row>
    <row r="21" spans="1:12" ht="15" customHeight="1" thickBot="1" x14ac:dyDescent="0.25">
      <c r="A21" s="73" t="s">
        <v>123</v>
      </c>
      <c r="B21" s="73" t="s">
        <v>124</v>
      </c>
      <c r="C21" s="73" t="s">
        <v>125</v>
      </c>
      <c r="D21" s="74" t="s">
        <v>126</v>
      </c>
      <c r="E21" s="74" t="s">
        <v>40</v>
      </c>
      <c r="F21" s="74" t="s">
        <v>46</v>
      </c>
      <c r="G21" s="74" t="s">
        <v>127</v>
      </c>
      <c r="H21" s="74" t="s">
        <v>41</v>
      </c>
      <c r="I21" s="74"/>
      <c r="J21" s="74"/>
      <c r="K21" s="74"/>
      <c r="L21" s="74"/>
    </row>
    <row r="22" spans="1:12" ht="15" customHeight="1" thickBot="1" x14ac:dyDescent="0.25">
      <c r="A22" s="73" t="s">
        <v>128</v>
      </c>
      <c r="B22" s="73" t="s">
        <v>129</v>
      </c>
      <c r="C22" s="73" t="s">
        <v>130</v>
      </c>
      <c r="D22" s="74" t="s">
        <v>40</v>
      </c>
      <c r="E22" s="74" t="s">
        <v>131</v>
      </c>
      <c r="F22" s="74" t="s">
        <v>132</v>
      </c>
      <c r="G22" s="74" t="s">
        <v>133</v>
      </c>
      <c r="H22" s="74" t="s">
        <v>37</v>
      </c>
      <c r="I22" s="74"/>
      <c r="J22" s="74"/>
      <c r="K22" s="74"/>
      <c r="L22" s="74"/>
    </row>
    <row r="23" spans="1:12" ht="15" customHeight="1" thickBot="1" x14ac:dyDescent="0.25">
      <c r="A23" s="73" t="s">
        <v>134</v>
      </c>
      <c r="B23" s="73" t="s">
        <v>135</v>
      </c>
      <c r="C23" s="73" t="s">
        <v>136</v>
      </c>
      <c r="D23" s="74" t="s">
        <v>137</v>
      </c>
      <c r="E23" s="74" t="s">
        <v>138</v>
      </c>
      <c r="F23" s="74" t="s">
        <v>132</v>
      </c>
      <c r="G23" s="74" t="s">
        <v>136</v>
      </c>
      <c r="H23" s="74" t="s">
        <v>37</v>
      </c>
      <c r="I23" s="74"/>
      <c r="J23" s="74"/>
      <c r="K23" s="74"/>
      <c r="L23" s="74"/>
    </row>
    <row r="24" spans="1:12" ht="27" customHeight="1" thickBot="1" x14ac:dyDescent="0.25">
      <c r="A24" s="73" t="s">
        <v>139</v>
      </c>
      <c r="B24" s="73" t="s">
        <v>140</v>
      </c>
      <c r="C24" s="73" t="s">
        <v>141</v>
      </c>
      <c r="D24" s="74" t="s">
        <v>142</v>
      </c>
      <c r="E24" s="74" t="s">
        <v>40</v>
      </c>
      <c r="F24" s="74" t="s">
        <v>143</v>
      </c>
      <c r="G24" s="74" t="s">
        <v>144</v>
      </c>
      <c r="H24" s="74" t="s">
        <v>37</v>
      </c>
      <c r="I24" s="74"/>
      <c r="J24" s="74"/>
      <c r="K24" s="74"/>
      <c r="L24" s="74"/>
    </row>
    <row r="25" spans="1:12" ht="15" customHeight="1" thickBot="1" x14ac:dyDescent="0.25">
      <c r="A25" s="73" t="s">
        <v>145</v>
      </c>
      <c r="B25" s="73" t="s">
        <v>146</v>
      </c>
      <c r="C25" s="73" t="s">
        <v>147</v>
      </c>
      <c r="D25" s="74" t="s">
        <v>40</v>
      </c>
      <c r="E25" s="74" t="s">
        <v>40</v>
      </c>
      <c r="F25" s="74" t="s">
        <v>143</v>
      </c>
      <c r="G25" s="74" t="s">
        <v>148</v>
      </c>
      <c r="H25" s="74" t="s">
        <v>41</v>
      </c>
      <c r="I25" s="74"/>
      <c r="J25" s="74"/>
      <c r="K25" s="74"/>
      <c r="L25" s="74"/>
    </row>
    <row r="26" spans="1:12" ht="15" customHeight="1" thickBot="1" x14ac:dyDescent="0.25">
      <c r="A26" s="73" t="s">
        <v>149</v>
      </c>
      <c r="B26" s="73" t="s">
        <v>150</v>
      </c>
      <c r="C26" s="73" t="s">
        <v>151</v>
      </c>
      <c r="D26" s="74" t="s">
        <v>152</v>
      </c>
      <c r="E26" s="74" t="s">
        <v>153</v>
      </c>
      <c r="F26" s="74" t="s">
        <v>143</v>
      </c>
      <c r="G26" s="74" t="s">
        <v>154</v>
      </c>
      <c r="H26" s="74" t="s">
        <v>37</v>
      </c>
      <c r="I26" s="74"/>
      <c r="J26" s="74"/>
      <c r="K26" s="74"/>
      <c r="L26" s="74"/>
    </row>
    <row r="27" spans="1:12" ht="15" customHeight="1" thickBot="1" x14ac:dyDescent="0.25">
      <c r="A27" s="73" t="s">
        <v>155</v>
      </c>
      <c r="B27" s="73" t="s">
        <v>156</v>
      </c>
      <c r="C27" s="73" t="s">
        <v>157</v>
      </c>
      <c r="D27" s="74" t="s">
        <v>40</v>
      </c>
      <c r="E27" s="74" t="s">
        <v>40</v>
      </c>
      <c r="F27" s="74" t="s">
        <v>158</v>
      </c>
      <c r="G27" s="74" t="s">
        <v>40</v>
      </c>
      <c r="H27" s="74" t="s">
        <v>37</v>
      </c>
      <c r="I27" s="74"/>
      <c r="J27" s="74"/>
      <c r="K27" s="74"/>
      <c r="L27" s="74"/>
    </row>
    <row r="28" spans="1:12" ht="15" customHeight="1" thickBot="1" x14ac:dyDescent="0.25">
      <c r="A28" s="73" t="s">
        <v>159</v>
      </c>
      <c r="B28" s="73" t="s">
        <v>160</v>
      </c>
      <c r="C28" s="73" t="s">
        <v>161</v>
      </c>
      <c r="D28" s="74" t="s">
        <v>40</v>
      </c>
      <c r="E28" s="74" t="s">
        <v>40</v>
      </c>
      <c r="F28" s="74" t="s">
        <v>162</v>
      </c>
      <c r="G28" s="74" t="s">
        <v>163</v>
      </c>
      <c r="H28" s="74" t="s">
        <v>164</v>
      </c>
      <c r="I28" s="74"/>
      <c r="J28" s="74"/>
      <c r="K28" s="74"/>
      <c r="L28" s="74"/>
    </row>
    <row r="29" spans="1:12" ht="27" customHeight="1" thickBot="1" x14ac:dyDescent="0.25">
      <c r="A29" s="73" t="s">
        <v>165</v>
      </c>
      <c r="B29" s="73" t="s">
        <v>166</v>
      </c>
      <c r="C29" s="73" t="s">
        <v>167</v>
      </c>
      <c r="D29" s="74" t="s">
        <v>40</v>
      </c>
      <c r="E29" s="74" t="s">
        <v>40</v>
      </c>
      <c r="F29" s="74" t="s">
        <v>162</v>
      </c>
      <c r="G29" s="74" t="s">
        <v>168</v>
      </c>
      <c r="H29" s="74" t="s">
        <v>169</v>
      </c>
      <c r="I29" s="74"/>
      <c r="J29" s="74"/>
      <c r="K29" s="74"/>
      <c r="L29" s="74"/>
    </row>
    <row r="30" spans="1:12" ht="27" customHeight="1" thickBot="1" x14ac:dyDescent="0.25">
      <c r="A30" s="73" t="s">
        <v>170</v>
      </c>
      <c r="B30" s="73" t="s">
        <v>171</v>
      </c>
      <c r="C30" s="73" t="s">
        <v>172</v>
      </c>
      <c r="D30" s="74" t="s">
        <v>40</v>
      </c>
      <c r="E30" s="74" t="s">
        <v>40</v>
      </c>
      <c r="F30" s="74" t="s">
        <v>162</v>
      </c>
      <c r="G30" s="74" t="s">
        <v>173</v>
      </c>
      <c r="H30" s="74" t="s">
        <v>174</v>
      </c>
      <c r="I30" s="74"/>
      <c r="J30" s="74"/>
      <c r="K30" s="74"/>
      <c r="L30" s="74"/>
    </row>
    <row r="31" spans="1:12" ht="15" customHeight="1" thickBot="1" x14ac:dyDescent="0.25">
      <c r="A31" s="73" t="s">
        <v>175</v>
      </c>
      <c r="B31" s="73" t="s">
        <v>176</v>
      </c>
      <c r="C31" s="73" t="s">
        <v>177</v>
      </c>
      <c r="D31" s="74" t="s">
        <v>40</v>
      </c>
      <c r="E31" s="74" t="s">
        <v>40</v>
      </c>
      <c r="F31" s="74" t="s">
        <v>162</v>
      </c>
      <c r="G31" s="74" t="s">
        <v>178</v>
      </c>
      <c r="H31" s="74" t="s">
        <v>134</v>
      </c>
      <c r="I31" s="74"/>
      <c r="J31" s="74"/>
      <c r="K31" s="74"/>
      <c r="L31" s="74"/>
    </row>
    <row r="32" spans="1:12" ht="15" customHeight="1" thickBot="1" x14ac:dyDescent="0.25">
      <c r="A32" s="73" t="s">
        <v>179</v>
      </c>
      <c r="B32" s="73" t="s">
        <v>180</v>
      </c>
      <c r="C32" s="73" t="s">
        <v>181</v>
      </c>
      <c r="D32" s="74" t="s">
        <v>40</v>
      </c>
      <c r="E32" s="74" t="s">
        <v>40</v>
      </c>
      <c r="F32" s="74" t="s">
        <v>162</v>
      </c>
      <c r="G32" s="74" t="s">
        <v>182</v>
      </c>
      <c r="H32" s="74" t="s">
        <v>183</v>
      </c>
      <c r="I32" s="74"/>
      <c r="J32" s="74"/>
      <c r="K32" s="74"/>
      <c r="L32" s="74"/>
    </row>
    <row r="33" spans="1:12" ht="15" customHeight="1" thickBot="1" x14ac:dyDescent="0.25">
      <c r="A33" s="73" t="s">
        <v>184</v>
      </c>
      <c r="B33" s="73" t="s">
        <v>185</v>
      </c>
      <c r="C33" s="73" t="s">
        <v>186</v>
      </c>
      <c r="D33" s="74" t="s">
        <v>40</v>
      </c>
      <c r="E33" s="74" t="s">
        <v>187</v>
      </c>
      <c r="F33" s="74" t="s">
        <v>162</v>
      </c>
      <c r="G33" s="74" t="s">
        <v>188</v>
      </c>
      <c r="H33" s="74" t="s">
        <v>54</v>
      </c>
      <c r="I33" s="74"/>
      <c r="J33" s="74"/>
      <c r="K33" s="74"/>
      <c r="L33" s="74"/>
    </row>
    <row r="34" spans="1:12" ht="15" customHeight="1" thickBot="1" x14ac:dyDescent="0.25">
      <c r="A34" s="73" t="s">
        <v>189</v>
      </c>
      <c r="B34" s="73" t="s">
        <v>190</v>
      </c>
      <c r="C34" s="73" t="s">
        <v>191</v>
      </c>
      <c r="D34" s="74" t="s">
        <v>40</v>
      </c>
      <c r="E34" s="74" t="s">
        <v>40</v>
      </c>
      <c r="F34" s="74" t="s">
        <v>162</v>
      </c>
      <c r="G34" s="74" t="s">
        <v>192</v>
      </c>
      <c r="H34" s="74" t="s">
        <v>145</v>
      </c>
      <c r="I34" s="74"/>
      <c r="J34" s="74"/>
      <c r="K34" s="74"/>
      <c r="L34" s="74"/>
    </row>
    <row r="35" spans="1:12" ht="27" customHeight="1" thickBot="1" x14ac:dyDescent="0.25">
      <c r="A35" s="73" t="s">
        <v>193</v>
      </c>
      <c r="B35" s="73" t="s">
        <v>194</v>
      </c>
      <c r="C35" s="73" t="s">
        <v>195</v>
      </c>
      <c r="D35" s="74" t="s">
        <v>40</v>
      </c>
      <c r="E35" s="74" t="s">
        <v>40</v>
      </c>
      <c r="F35" s="74" t="s">
        <v>162</v>
      </c>
      <c r="G35" s="74" t="s">
        <v>196</v>
      </c>
      <c r="H35" s="74" t="s">
        <v>193</v>
      </c>
      <c r="I35" s="74"/>
      <c r="J35" s="74"/>
      <c r="K35" s="74"/>
      <c r="L35" s="74"/>
    </row>
    <row r="36" spans="1:12" ht="15" customHeight="1" thickBot="1" x14ac:dyDescent="0.25">
      <c r="A36" s="73" t="s">
        <v>197</v>
      </c>
      <c r="B36" s="73" t="s">
        <v>198</v>
      </c>
      <c r="C36" s="73" t="s">
        <v>199</v>
      </c>
      <c r="D36" s="74" t="s">
        <v>40</v>
      </c>
      <c r="E36" s="74" t="s">
        <v>40</v>
      </c>
      <c r="F36" s="74" t="s">
        <v>162</v>
      </c>
      <c r="G36" s="74" t="s">
        <v>200</v>
      </c>
      <c r="H36" s="74" t="s">
        <v>193</v>
      </c>
      <c r="I36" s="74"/>
      <c r="J36" s="74"/>
      <c r="K36" s="74"/>
      <c r="L36" s="74"/>
    </row>
    <row r="37" spans="1:12" ht="15" customHeight="1" thickBot="1" x14ac:dyDescent="0.25">
      <c r="A37" s="73" t="s">
        <v>201</v>
      </c>
      <c r="B37" s="73" t="s">
        <v>202</v>
      </c>
      <c r="C37" s="73" t="s">
        <v>203</v>
      </c>
      <c r="D37" s="74" t="s">
        <v>40</v>
      </c>
      <c r="E37" s="74" t="s">
        <v>40</v>
      </c>
      <c r="F37" s="74" t="s">
        <v>162</v>
      </c>
      <c r="G37" s="74" t="s">
        <v>204</v>
      </c>
      <c r="H37" s="74" t="s">
        <v>41</v>
      </c>
      <c r="I37" s="74"/>
      <c r="J37" s="74"/>
      <c r="K37" s="74"/>
      <c r="L37" s="74"/>
    </row>
    <row r="38" spans="1:12" ht="15" customHeight="1" thickBot="1" x14ac:dyDescent="0.25">
      <c r="A38" s="73" t="s">
        <v>205</v>
      </c>
      <c r="B38" s="73" t="s">
        <v>206</v>
      </c>
      <c r="C38" s="73" t="s">
        <v>207</v>
      </c>
      <c r="D38" s="74" t="s">
        <v>40</v>
      </c>
      <c r="E38" s="74" t="s">
        <v>40</v>
      </c>
      <c r="F38" s="74" t="s">
        <v>162</v>
      </c>
      <c r="G38" s="74" t="s">
        <v>208</v>
      </c>
      <c r="H38" s="74" t="s">
        <v>37</v>
      </c>
      <c r="I38" s="74"/>
      <c r="J38" s="74"/>
      <c r="K38" s="74"/>
      <c r="L38" s="74"/>
    </row>
    <row r="39" spans="1:12" ht="15" customHeight="1" thickBot="1" x14ac:dyDescent="0.25">
      <c r="A39" s="73" t="s">
        <v>164</v>
      </c>
      <c r="B39" s="73" t="s">
        <v>209</v>
      </c>
      <c r="C39" s="73" t="s">
        <v>210</v>
      </c>
      <c r="D39" s="74" t="s">
        <v>40</v>
      </c>
      <c r="E39" s="74" t="s">
        <v>40</v>
      </c>
      <c r="F39" s="74" t="s">
        <v>162</v>
      </c>
      <c r="G39" s="74" t="s">
        <v>192</v>
      </c>
      <c r="H39" s="74" t="s">
        <v>145</v>
      </c>
      <c r="I39" s="74"/>
      <c r="J39" s="74"/>
      <c r="K39" s="74"/>
      <c r="L39" s="74"/>
    </row>
    <row r="40" spans="1:12" ht="27" customHeight="1" thickBot="1" x14ac:dyDescent="0.25">
      <c r="A40" s="73" t="s">
        <v>211</v>
      </c>
      <c r="B40" s="73" t="s">
        <v>212</v>
      </c>
      <c r="C40" s="73" t="s">
        <v>213</v>
      </c>
      <c r="D40" s="74" t="s">
        <v>214</v>
      </c>
      <c r="E40" s="74" t="s">
        <v>40</v>
      </c>
      <c r="F40" s="74" t="s">
        <v>215</v>
      </c>
      <c r="G40" s="74" t="s">
        <v>40</v>
      </c>
      <c r="H40" s="74" t="s">
        <v>37</v>
      </c>
      <c r="I40" s="74"/>
      <c r="J40" s="74"/>
      <c r="K40" s="74"/>
      <c r="L40" s="74"/>
    </row>
    <row r="41" spans="1:12" ht="27" customHeight="1" thickBot="1" x14ac:dyDescent="0.25">
      <c r="A41" s="73" t="s">
        <v>216</v>
      </c>
      <c r="B41" s="73" t="s">
        <v>212</v>
      </c>
      <c r="C41" s="73" t="s">
        <v>217</v>
      </c>
      <c r="D41" s="74" t="s">
        <v>214</v>
      </c>
      <c r="E41" s="74" t="s">
        <v>40</v>
      </c>
      <c r="F41" s="74" t="s">
        <v>215</v>
      </c>
      <c r="G41" s="74" t="s">
        <v>40</v>
      </c>
      <c r="H41" s="74" t="s">
        <v>64</v>
      </c>
      <c r="I41" s="74"/>
      <c r="J41" s="74"/>
      <c r="K41" s="74"/>
      <c r="L41" s="74"/>
    </row>
    <row r="42" spans="1:12" ht="15" customHeight="1" thickBot="1" x14ac:dyDescent="0.25">
      <c r="A42" s="73" t="s">
        <v>218</v>
      </c>
      <c r="B42" s="73" t="s">
        <v>219</v>
      </c>
      <c r="C42" s="73" t="s">
        <v>220</v>
      </c>
      <c r="D42" s="74" t="s">
        <v>221</v>
      </c>
      <c r="E42" s="74" t="s">
        <v>222</v>
      </c>
      <c r="F42" s="74" t="s">
        <v>215</v>
      </c>
      <c r="G42" s="74" t="s">
        <v>213</v>
      </c>
      <c r="H42" s="74" t="s">
        <v>54</v>
      </c>
      <c r="I42" s="74"/>
      <c r="J42" s="74"/>
      <c r="K42" s="74"/>
      <c r="L42" s="74"/>
    </row>
    <row r="43" spans="1:12" ht="15" customHeight="1" x14ac:dyDescent="0.2">
      <c r="A43" s="75" t="s">
        <v>223</v>
      </c>
      <c r="B43" s="75" t="s">
        <v>219</v>
      </c>
      <c r="C43" s="75" t="s">
        <v>224</v>
      </c>
      <c r="D43" s="76" t="s">
        <v>225</v>
      </c>
      <c r="E43" s="76" t="s">
        <v>222</v>
      </c>
      <c r="F43" s="76" t="s">
        <v>215</v>
      </c>
      <c r="G43" s="76" t="s">
        <v>217</v>
      </c>
      <c r="H43" s="76" t="s">
        <v>226</v>
      </c>
      <c r="I43" s="76"/>
      <c r="J43" s="76"/>
      <c r="K43" s="76"/>
      <c r="L43" s="76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/>
  <headerFooter>
    <oddHeader xml:space="preserve">&amp;L&amp;"ABB Logo,Plain"&amp;42ABB&amp;20
&amp;"Arial,Regular"&amp;11ABB Suiza SA&amp;C&amp;14Bill of Material&amp;R&amp;14
</oddHeader>
    <oddFooter>&amp;L&amp;11Prepared / M. G. PRESTA
Approved / F. DEL CARLO&amp;R&amp;11&amp;F
Date: &amp;D &amp; =IF(0 &lt;&gt;""; Rev. ind.: 0; "")
Sheet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G44"/>
  <sheetViews>
    <sheetView zoomScaleNormal="100" zoomScaleSheetLayoutView="100" workbookViewId="0">
      <pane ySplit="3" topLeftCell="A4" activePane="bottomLeft" state="frozen"/>
      <selection pane="bottomLeft"/>
    </sheetView>
  </sheetViews>
  <sheetFormatPr defaultRowHeight="12.75" x14ac:dyDescent="0.2"/>
  <cols>
    <col min="1" max="1" width="5.5703125" style="66" customWidth="1"/>
    <col min="2" max="2" width="27.140625" style="66" customWidth="1"/>
    <col min="3" max="3" width="32.5703125" style="66" customWidth="1"/>
    <col min="4" max="4" width="22.5703125" style="66" customWidth="1"/>
    <col min="5" max="5" width="22.7109375" style="66" customWidth="1"/>
    <col min="6" max="6" width="20.5703125" style="66" customWidth="1"/>
    <col min="7" max="7" width="22.5703125" style="66" customWidth="1"/>
    <col min="8" max="8" width="9.140625" style="66" customWidth="1"/>
    <col min="9" max="9" width="8.5703125" style="66" customWidth="1"/>
    <col min="10" max="10" width="17.5703125" style="66" customWidth="1"/>
    <col min="11" max="11" width="21.7109375" style="66" customWidth="1"/>
    <col min="12" max="12" width="6.5703125" style="66" customWidth="1"/>
    <col min="13" max="13" width="28.5703125" style="66" customWidth="1"/>
  </cols>
  <sheetData>
    <row r="1" spans="1:33" x14ac:dyDescent="0.2">
      <c r="C1" s="54"/>
      <c r="D1" s="66" t="s">
        <v>227</v>
      </c>
      <c r="E1" s="66">
        <v>1</v>
      </c>
    </row>
    <row r="2" spans="1:33" s="19" customFormat="1" ht="25.15" customHeight="1" x14ac:dyDescent="0.25">
      <c r="A2" s="142"/>
      <c r="B2" s="142"/>
      <c r="C2" s="142"/>
      <c r="D2" s="142"/>
      <c r="E2" s="142"/>
      <c r="F2" s="142"/>
      <c r="G2" s="142"/>
      <c r="H2" s="142"/>
      <c r="I2" s="142"/>
      <c r="J2" s="142"/>
      <c r="K2" s="49"/>
      <c r="L2" s="44"/>
      <c r="M2" s="22"/>
      <c r="N2" s="22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</row>
    <row r="3" spans="1:33" ht="36" customHeight="1" thickBot="1" x14ac:dyDescent="0.25">
      <c r="A3" s="65" t="s">
        <v>14</v>
      </c>
      <c r="B3" s="65" t="s">
        <v>0</v>
      </c>
      <c r="C3" s="65" t="s">
        <v>30</v>
      </c>
      <c r="D3" s="65" t="s">
        <v>5</v>
      </c>
      <c r="E3" s="65" t="s">
        <v>26</v>
      </c>
      <c r="F3" s="65" t="s">
        <v>31</v>
      </c>
      <c r="G3" s="65" t="s">
        <v>16</v>
      </c>
      <c r="H3" s="65" t="s">
        <v>35</v>
      </c>
      <c r="I3" s="65" t="s">
        <v>36</v>
      </c>
      <c r="J3" s="65" t="s">
        <v>33</v>
      </c>
      <c r="K3" s="65" t="s">
        <v>34</v>
      </c>
      <c r="L3" s="65" t="s">
        <v>17</v>
      </c>
    </row>
    <row r="4" spans="1:33" ht="15" customHeight="1" thickBot="1" x14ac:dyDescent="0.25">
      <c r="A4" s="73" t="s">
        <v>37</v>
      </c>
      <c r="B4" s="73" t="s">
        <v>228</v>
      </c>
      <c r="C4" s="73" t="s">
        <v>229</v>
      </c>
      <c r="D4" s="74" t="s">
        <v>40</v>
      </c>
      <c r="E4" s="74" t="s">
        <v>40</v>
      </c>
      <c r="F4" s="74" t="s">
        <v>40</v>
      </c>
      <c r="G4" s="74" t="s">
        <v>40</v>
      </c>
      <c r="H4" s="74" t="s">
        <v>41</v>
      </c>
      <c r="I4" s="74"/>
      <c r="J4" s="74"/>
      <c r="K4" s="74"/>
      <c r="L4" s="74"/>
    </row>
    <row r="5" spans="1:33" ht="15" customHeight="1" thickBot="1" x14ac:dyDescent="0.25">
      <c r="A5" s="73" t="s">
        <v>41</v>
      </c>
      <c r="B5" s="73" t="s">
        <v>38</v>
      </c>
      <c r="C5" s="73" t="s">
        <v>39</v>
      </c>
      <c r="D5" s="74" t="s">
        <v>40</v>
      </c>
      <c r="E5" s="74" t="s">
        <v>40</v>
      </c>
      <c r="F5" s="74" t="s">
        <v>40</v>
      </c>
      <c r="G5" s="74" t="s">
        <v>40</v>
      </c>
      <c r="H5" s="74" t="s">
        <v>37</v>
      </c>
      <c r="I5" s="74"/>
      <c r="J5" s="74"/>
      <c r="K5" s="74"/>
      <c r="L5" s="74"/>
    </row>
    <row r="6" spans="1:33" ht="27" customHeight="1" thickBot="1" x14ac:dyDescent="0.25">
      <c r="A6" s="73" t="s">
        <v>48</v>
      </c>
      <c r="B6" s="73" t="s">
        <v>42</v>
      </c>
      <c r="C6" s="73" t="s">
        <v>43</v>
      </c>
      <c r="D6" s="74" t="s">
        <v>44</v>
      </c>
      <c r="E6" s="74" t="s">
        <v>45</v>
      </c>
      <c r="F6" s="74" t="s">
        <v>46</v>
      </c>
      <c r="G6" s="74" t="s">
        <v>47</v>
      </c>
      <c r="H6" s="74" t="s">
        <v>41</v>
      </c>
      <c r="I6" s="74"/>
      <c r="J6" s="74"/>
      <c r="K6" s="74"/>
      <c r="L6" s="74"/>
    </row>
    <row r="7" spans="1:33" ht="15" customHeight="1" thickBot="1" x14ac:dyDescent="0.25">
      <c r="A7" s="73" t="s">
        <v>54</v>
      </c>
      <c r="B7" s="73" t="s">
        <v>49</v>
      </c>
      <c r="C7" s="73" t="s">
        <v>50</v>
      </c>
      <c r="D7" s="74" t="s">
        <v>51</v>
      </c>
      <c r="E7" s="74" t="s">
        <v>52</v>
      </c>
      <c r="F7" s="74" t="s">
        <v>46</v>
      </c>
      <c r="G7" s="74" t="s">
        <v>53</v>
      </c>
      <c r="H7" s="74" t="s">
        <v>41</v>
      </c>
      <c r="I7" s="74"/>
      <c r="J7" s="74"/>
      <c r="K7" s="74"/>
      <c r="L7" s="74"/>
    </row>
    <row r="8" spans="1:33" ht="15" customHeight="1" thickBot="1" x14ac:dyDescent="0.25">
      <c r="A8" s="73" t="s">
        <v>60</v>
      </c>
      <c r="B8" s="73" t="s">
        <v>49</v>
      </c>
      <c r="C8" s="73" t="s">
        <v>55</v>
      </c>
      <c r="D8" s="74" t="s">
        <v>56</v>
      </c>
      <c r="E8" s="74" t="s">
        <v>57</v>
      </c>
      <c r="F8" s="74" t="s">
        <v>46</v>
      </c>
      <c r="G8" s="74" t="s">
        <v>58</v>
      </c>
      <c r="H8" s="74" t="s">
        <v>59</v>
      </c>
      <c r="I8" s="74"/>
      <c r="J8" s="74"/>
      <c r="K8" s="74"/>
      <c r="L8" s="74"/>
    </row>
    <row r="9" spans="1:33" ht="15" customHeight="1" thickBot="1" x14ac:dyDescent="0.25">
      <c r="A9" s="73" t="s">
        <v>64</v>
      </c>
      <c r="B9" s="73" t="s">
        <v>49</v>
      </c>
      <c r="C9" s="73" t="s">
        <v>61</v>
      </c>
      <c r="D9" s="74" t="s">
        <v>56</v>
      </c>
      <c r="E9" s="74" t="s">
        <v>62</v>
      </c>
      <c r="F9" s="74" t="s">
        <v>46</v>
      </c>
      <c r="G9" s="74" t="s">
        <v>63</v>
      </c>
      <c r="H9" s="74" t="s">
        <v>41</v>
      </c>
      <c r="I9" s="74"/>
      <c r="J9" s="74"/>
      <c r="K9" s="74"/>
      <c r="L9" s="74"/>
    </row>
    <row r="10" spans="1:33" ht="15" customHeight="1" thickBot="1" x14ac:dyDescent="0.25">
      <c r="A10" s="73" t="s">
        <v>69</v>
      </c>
      <c r="B10" s="73" t="s">
        <v>65</v>
      </c>
      <c r="C10" s="73" t="s">
        <v>66</v>
      </c>
      <c r="D10" s="74" t="s">
        <v>67</v>
      </c>
      <c r="E10" s="74" t="s">
        <v>52</v>
      </c>
      <c r="F10" s="74" t="s">
        <v>46</v>
      </c>
      <c r="G10" s="74" t="s">
        <v>68</v>
      </c>
      <c r="H10" s="74" t="s">
        <v>41</v>
      </c>
      <c r="I10" s="74"/>
      <c r="J10" s="74"/>
      <c r="K10" s="74"/>
      <c r="L10" s="74"/>
    </row>
    <row r="11" spans="1:33" ht="15" customHeight="1" thickBot="1" x14ac:dyDescent="0.25">
      <c r="A11" s="73" t="s">
        <v>74</v>
      </c>
      <c r="B11" s="73" t="s">
        <v>70</v>
      </c>
      <c r="C11" s="73" t="s">
        <v>71</v>
      </c>
      <c r="D11" s="74" t="s">
        <v>72</v>
      </c>
      <c r="E11" s="74" t="s">
        <v>40</v>
      </c>
      <c r="F11" s="74" t="s">
        <v>46</v>
      </c>
      <c r="G11" s="74" t="s">
        <v>73</v>
      </c>
      <c r="H11" s="74" t="s">
        <v>48</v>
      </c>
      <c r="I11" s="74"/>
      <c r="J11" s="74"/>
      <c r="K11" s="74"/>
      <c r="L11" s="74"/>
    </row>
    <row r="12" spans="1:33" ht="27" customHeight="1" thickBot="1" x14ac:dyDescent="0.25">
      <c r="A12" s="73" t="s">
        <v>80</v>
      </c>
      <c r="B12" s="73" t="s">
        <v>75</v>
      </c>
      <c r="C12" s="73" t="s">
        <v>76</v>
      </c>
      <c r="D12" s="74" t="s">
        <v>77</v>
      </c>
      <c r="E12" s="74" t="s">
        <v>78</v>
      </c>
      <c r="F12" s="74" t="s">
        <v>46</v>
      </c>
      <c r="G12" s="74" t="s">
        <v>79</v>
      </c>
      <c r="H12" s="74" t="s">
        <v>41</v>
      </c>
      <c r="I12" s="74"/>
      <c r="J12" s="74"/>
      <c r="K12" s="74"/>
      <c r="L12" s="74"/>
    </row>
    <row r="13" spans="1:33" ht="27" customHeight="1" thickBot="1" x14ac:dyDescent="0.25">
      <c r="A13" s="73" t="s">
        <v>85</v>
      </c>
      <c r="B13" s="73" t="s">
        <v>81</v>
      </c>
      <c r="C13" s="73" t="s">
        <v>82</v>
      </c>
      <c r="D13" s="74" t="s">
        <v>72</v>
      </c>
      <c r="E13" s="74" t="s">
        <v>83</v>
      </c>
      <c r="F13" s="74" t="s">
        <v>46</v>
      </c>
      <c r="G13" s="74" t="s">
        <v>84</v>
      </c>
      <c r="H13" s="74" t="s">
        <v>37</v>
      </c>
      <c r="I13" s="74"/>
      <c r="J13" s="74"/>
      <c r="K13" s="74"/>
      <c r="L13" s="74"/>
    </row>
    <row r="14" spans="1:33" ht="27" customHeight="1" thickBot="1" x14ac:dyDescent="0.25">
      <c r="A14" s="73" t="s">
        <v>89</v>
      </c>
      <c r="B14" s="73" t="s">
        <v>230</v>
      </c>
      <c r="C14" s="73" t="s">
        <v>231</v>
      </c>
      <c r="D14" s="74" t="s">
        <v>40</v>
      </c>
      <c r="E14" s="74" t="s">
        <v>40</v>
      </c>
      <c r="F14" s="74" t="s">
        <v>46</v>
      </c>
      <c r="G14" s="74" t="s">
        <v>232</v>
      </c>
      <c r="H14" s="74" t="s">
        <v>41</v>
      </c>
      <c r="I14" s="74"/>
      <c r="J14" s="74"/>
      <c r="K14" s="74"/>
      <c r="L14" s="74"/>
    </row>
    <row r="15" spans="1:33" ht="15" customHeight="1" thickBot="1" x14ac:dyDescent="0.25">
      <c r="A15" s="73" t="s">
        <v>95</v>
      </c>
      <c r="B15" s="73" t="s">
        <v>90</v>
      </c>
      <c r="C15" s="73" t="s">
        <v>91</v>
      </c>
      <c r="D15" s="74" t="s">
        <v>92</v>
      </c>
      <c r="E15" s="74" t="s">
        <v>93</v>
      </c>
      <c r="F15" s="74" t="s">
        <v>46</v>
      </c>
      <c r="G15" s="74" t="s">
        <v>94</v>
      </c>
      <c r="H15" s="74" t="s">
        <v>37</v>
      </c>
      <c r="I15" s="74"/>
      <c r="J15" s="74"/>
      <c r="K15" s="74"/>
      <c r="L15" s="74"/>
    </row>
    <row r="16" spans="1:33" ht="15" customHeight="1" thickBot="1" x14ac:dyDescent="0.25">
      <c r="A16" s="73" t="s">
        <v>101</v>
      </c>
      <c r="B16" s="73" t="s">
        <v>96</v>
      </c>
      <c r="C16" s="73" t="s">
        <v>97</v>
      </c>
      <c r="D16" s="74" t="s">
        <v>98</v>
      </c>
      <c r="E16" s="74" t="s">
        <v>99</v>
      </c>
      <c r="F16" s="74" t="s">
        <v>46</v>
      </c>
      <c r="G16" s="74" t="s">
        <v>100</v>
      </c>
      <c r="H16" s="74" t="s">
        <v>54</v>
      </c>
      <c r="I16" s="74"/>
      <c r="J16" s="74"/>
      <c r="K16" s="74"/>
      <c r="L16" s="74"/>
    </row>
    <row r="17" spans="1:12" ht="15" customHeight="1" thickBot="1" x14ac:dyDescent="0.25">
      <c r="A17" s="73" t="s">
        <v>59</v>
      </c>
      <c r="B17" s="73" t="s">
        <v>102</v>
      </c>
      <c r="C17" s="73" t="s">
        <v>103</v>
      </c>
      <c r="D17" s="74" t="s">
        <v>104</v>
      </c>
      <c r="E17" s="74" t="s">
        <v>52</v>
      </c>
      <c r="F17" s="74" t="s">
        <v>46</v>
      </c>
      <c r="G17" s="74" t="s">
        <v>105</v>
      </c>
      <c r="H17" s="74" t="s">
        <v>41</v>
      </c>
      <c r="I17" s="74"/>
      <c r="J17" s="74"/>
      <c r="K17" s="74"/>
      <c r="L17" s="74"/>
    </row>
    <row r="18" spans="1:12" ht="15" customHeight="1" thickBot="1" x14ac:dyDescent="0.25">
      <c r="A18" s="73" t="s">
        <v>110</v>
      </c>
      <c r="B18" s="73" t="s">
        <v>106</v>
      </c>
      <c r="C18" s="73" t="s">
        <v>107</v>
      </c>
      <c r="D18" s="74" t="s">
        <v>108</v>
      </c>
      <c r="E18" s="74" t="s">
        <v>40</v>
      </c>
      <c r="F18" s="74" t="s">
        <v>46</v>
      </c>
      <c r="G18" s="74" t="s">
        <v>109</v>
      </c>
      <c r="H18" s="74" t="s">
        <v>41</v>
      </c>
      <c r="I18" s="74"/>
      <c r="J18" s="74"/>
      <c r="K18" s="74"/>
      <c r="L18" s="74"/>
    </row>
    <row r="19" spans="1:12" ht="27" customHeight="1" thickBot="1" x14ac:dyDescent="0.25">
      <c r="A19" s="73" t="s">
        <v>116</v>
      </c>
      <c r="B19" s="73" t="s">
        <v>111</v>
      </c>
      <c r="C19" s="73" t="s">
        <v>112</v>
      </c>
      <c r="D19" s="74" t="s">
        <v>113</v>
      </c>
      <c r="E19" s="74" t="s">
        <v>114</v>
      </c>
      <c r="F19" s="74" t="s">
        <v>46</v>
      </c>
      <c r="G19" s="74" t="s">
        <v>115</v>
      </c>
      <c r="H19" s="74" t="s">
        <v>41</v>
      </c>
      <c r="I19" s="74"/>
      <c r="J19" s="74"/>
      <c r="K19" s="74"/>
      <c r="L19" s="74"/>
    </row>
    <row r="20" spans="1:12" ht="27" customHeight="1" thickBot="1" x14ac:dyDescent="0.25">
      <c r="A20" s="73" t="s">
        <v>120</v>
      </c>
      <c r="B20" s="73" t="s">
        <v>111</v>
      </c>
      <c r="C20" s="73" t="s">
        <v>117</v>
      </c>
      <c r="D20" s="74" t="s">
        <v>113</v>
      </c>
      <c r="E20" s="74" t="s">
        <v>118</v>
      </c>
      <c r="F20" s="74" t="s">
        <v>46</v>
      </c>
      <c r="G20" s="74" t="s">
        <v>119</v>
      </c>
      <c r="H20" s="74" t="s">
        <v>41</v>
      </c>
      <c r="I20" s="74"/>
      <c r="J20" s="74"/>
      <c r="K20" s="74"/>
      <c r="L20" s="74"/>
    </row>
    <row r="21" spans="1:12" ht="27" customHeight="1" thickBot="1" x14ac:dyDescent="0.25">
      <c r="A21" s="73" t="s">
        <v>123</v>
      </c>
      <c r="B21" s="73" t="s">
        <v>111</v>
      </c>
      <c r="C21" s="73" t="s">
        <v>121</v>
      </c>
      <c r="D21" s="74" t="s">
        <v>113</v>
      </c>
      <c r="E21" s="74" t="s">
        <v>118</v>
      </c>
      <c r="F21" s="74" t="s">
        <v>46</v>
      </c>
      <c r="G21" s="74" t="s">
        <v>122</v>
      </c>
      <c r="H21" s="74" t="s">
        <v>41</v>
      </c>
      <c r="I21" s="74"/>
      <c r="J21" s="74"/>
      <c r="K21" s="74"/>
      <c r="L21" s="74"/>
    </row>
    <row r="22" spans="1:12" ht="15" customHeight="1" thickBot="1" x14ac:dyDescent="0.25">
      <c r="A22" s="73" t="s">
        <v>128</v>
      </c>
      <c r="B22" s="73" t="s">
        <v>124</v>
      </c>
      <c r="C22" s="73" t="s">
        <v>233</v>
      </c>
      <c r="D22" s="74" t="s">
        <v>126</v>
      </c>
      <c r="E22" s="74" t="s">
        <v>40</v>
      </c>
      <c r="F22" s="74" t="s">
        <v>46</v>
      </c>
      <c r="G22" s="74" t="s">
        <v>234</v>
      </c>
      <c r="H22" s="74" t="s">
        <v>41</v>
      </c>
      <c r="I22" s="74"/>
      <c r="J22" s="74"/>
      <c r="K22" s="74"/>
      <c r="L22" s="74"/>
    </row>
    <row r="23" spans="1:12" ht="15" customHeight="1" thickBot="1" x14ac:dyDescent="0.25">
      <c r="A23" s="73" t="s">
        <v>134</v>
      </c>
      <c r="B23" s="73" t="s">
        <v>129</v>
      </c>
      <c r="C23" s="73" t="s">
        <v>130</v>
      </c>
      <c r="D23" s="74" t="s">
        <v>40</v>
      </c>
      <c r="E23" s="74" t="s">
        <v>131</v>
      </c>
      <c r="F23" s="74" t="s">
        <v>132</v>
      </c>
      <c r="G23" s="74" t="s">
        <v>133</v>
      </c>
      <c r="H23" s="74" t="s">
        <v>37</v>
      </c>
      <c r="I23" s="74"/>
      <c r="J23" s="74"/>
      <c r="K23" s="74"/>
      <c r="L23" s="74"/>
    </row>
    <row r="24" spans="1:12" ht="15" customHeight="1" thickBot="1" x14ac:dyDescent="0.25">
      <c r="A24" s="73" t="s">
        <v>139</v>
      </c>
      <c r="B24" s="73" t="s">
        <v>135</v>
      </c>
      <c r="C24" s="73" t="s">
        <v>136</v>
      </c>
      <c r="D24" s="74" t="s">
        <v>137</v>
      </c>
      <c r="E24" s="74" t="s">
        <v>138</v>
      </c>
      <c r="F24" s="74" t="s">
        <v>132</v>
      </c>
      <c r="G24" s="74" t="s">
        <v>136</v>
      </c>
      <c r="H24" s="74" t="s">
        <v>37</v>
      </c>
      <c r="I24" s="74"/>
      <c r="J24" s="74"/>
      <c r="K24" s="74"/>
      <c r="L24" s="74"/>
    </row>
    <row r="25" spans="1:12" ht="27" customHeight="1" thickBot="1" x14ac:dyDescent="0.25">
      <c r="A25" s="73" t="s">
        <v>145</v>
      </c>
      <c r="B25" s="73" t="s">
        <v>140</v>
      </c>
      <c r="C25" s="73" t="s">
        <v>141</v>
      </c>
      <c r="D25" s="74" t="s">
        <v>142</v>
      </c>
      <c r="E25" s="74" t="s">
        <v>40</v>
      </c>
      <c r="F25" s="74" t="s">
        <v>143</v>
      </c>
      <c r="G25" s="74" t="s">
        <v>144</v>
      </c>
      <c r="H25" s="74" t="s">
        <v>37</v>
      </c>
      <c r="I25" s="74"/>
      <c r="J25" s="74"/>
      <c r="K25" s="74"/>
      <c r="L25" s="74"/>
    </row>
    <row r="26" spans="1:12" ht="15" customHeight="1" thickBot="1" x14ac:dyDescent="0.25">
      <c r="A26" s="73" t="s">
        <v>149</v>
      </c>
      <c r="B26" s="73" t="s">
        <v>146</v>
      </c>
      <c r="C26" s="73" t="s">
        <v>147</v>
      </c>
      <c r="D26" s="74" t="s">
        <v>40</v>
      </c>
      <c r="E26" s="74" t="s">
        <v>40</v>
      </c>
      <c r="F26" s="74" t="s">
        <v>143</v>
      </c>
      <c r="G26" s="74" t="s">
        <v>148</v>
      </c>
      <c r="H26" s="74" t="s">
        <v>41</v>
      </c>
      <c r="I26" s="74"/>
      <c r="J26" s="74"/>
      <c r="K26" s="74"/>
      <c r="L26" s="74"/>
    </row>
    <row r="27" spans="1:12" ht="15" customHeight="1" thickBot="1" x14ac:dyDescent="0.25">
      <c r="A27" s="73" t="s">
        <v>155</v>
      </c>
      <c r="B27" s="73" t="s">
        <v>150</v>
      </c>
      <c r="C27" s="73" t="s">
        <v>151</v>
      </c>
      <c r="D27" s="74" t="s">
        <v>152</v>
      </c>
      <c r="E27" s="74" t="s">
        <v>153</v>
      </c>
      <c r="F27" s="74" t="s">
        <v>143</v>
      </c>
      <c r="G27" s="74" t="s">
        <v>154</v>
      </c>
      <c r="H27" s="74" t="s">
        <v>37</v>
      </c>
      <c r="I27" s="74"/>
      <c r="J27" s="74"/>
      <c r="K27" s="74"/>
      <c r="L27" s="74"/>
    </row>
    <row r="28" spans="1:12" ht="15" customHeight="1" thickBot="1" x14ac:dyDescent="0.25">
      <c r="A28" s="73" t="s">
        <v>159</v>
      </c>
      <c r="B28" s="73" t="s">
        <v>156</v>
      </c>
      <c r="C28" s="73" t="s">
        <v>157</v>
      </c>
      <c r="D28" s="74" t="s">
        <v>40</v>
      </c>
      <c r="E28" s="74" t="s">
        <v>40</v>
      </c>
      <c r="F28" s="74" t="s">
        <v>158</v>
      </c>
      <c r="G28" s="74" t="s">
        <v>40</v>
      </c>
      <c r="H28" s="74" t="s">
        <v>37</v>
      </c>
      <c r="I28" s="74"/>
      <c r="J28" s="74"/>
      <c r="K28" s="74"/>
      <c r="L28" s="74"/>
    </row>
    <row r="29" spans="1:12" ht="15" customHeight="1" thickBot="1" x14ac:dyDescent="0.25">
      <c r="A29" s="73" t="s">
        <v>165</v>
      </c>
      <c r="B29" s="73" t="s">
        <v>160</v>
      </c>
      <c r="C29" s="73" t="s">
        <v>161</v>
      </c>
      <c r="D29" s="74" t="s">
        <v>40</v>
      </c>
      <c r="E29" s="74" t="s">
        <v>40</v>
      </c>
      <c r="F29" s="74" t="s">
        <v>162</v>
      </c>
      <c r="G29" s="74" t="s">
        <v>163</v>
      </c>
      <c r="H29" s="74" t="s">
        <v>164</v>
      </c>
      <c r="I29" s="74"/>
      <c r="J29" s="74"/>
      <c r="K29" s="74"/>
      <c r="L29" s="74"/>
    </row>
    <row r="30" spans="1:12" ht="27" customHeight="1" thickBot="1" x14ac:dyDescent="0.25">
      <c r="A30" s="73" t="s">
        <v>170</v>
      </c>
      <c r="B30" s="73" t="s">
        <v>166</v>
      </c>
      <c r="C30" s="73" t="s">
        <v>167</v>
      </c>
      <c r="D30" s="74" t="s">
        <v>40</v>
      </c>
      <c r="E30" s="74" t="s">
        <v>40</v>
      </c>
      <c r="F30" s="74" t="s">
        <v>162</v>
      </c>
      <c r="G30" s="74" t="s">
        <v>168</v>
      </c>
      <c r="H30" s="74" t="s">
        <v>226</v>
      </c>
      <c r="I30" s="74"/>
      <c r="J30" s="74"/>
      <c r="K30" s="74"/>
      <c r="L30" s="74"/>
    </row>
    <row r="31" spans="1:12" ht="27" customHeight="1" thickBot="1" x14ac:dyDescent="0.25">
      <c r="A31" s="73" t="s">
        <v>175</v>
      </c>
      <c r="B31" s="73" t="s">
        <v>171</v>
      </c>
      <c r="C31" s="73" t="s">
        <v>172</v>
      </c>
      <c r="D31" s="74" t="s">
        <v>40</v>
      </c>
      <c r="E31" s="74" t="s">
        <v>40</v>
      </c>
      <c r="F31" s="74" t="s">
        <v>162</v>
      </c>
      <c r="G31" s="74" t="s">
        <v>173</v>
      </c>
      <c r="H31" s="74" t="s">
        <v>235</v>
      </c>
      <c r="I31" s="74"/>
      <c r="J31" s="74"/>
      <c r="K31" s="74"/>
      <c r="L31" s="74"/>
    </row>
    <row r="32" spans="1:12" ht="15" customHeight="1" thickBot="1" x14ac:dyDescent="0.25">
      <c r="A32" s="73" t="s">
        <v>179</v>
      </c>
      <c r="B32" s="73" t="s">
        <v>176</v>
      </c>
      <c r="C32" s="73" t="s">
        <v>177</v>
      </c>
      <c r="D32" s="74" t="s">
        <v>40</v>
      </c>
      <c r="E32" s="74" t="s">
        <v>40</v>
      </c>
      <c r="F32" s="74" t="s">
        <v>162</v>
      </c>
      <c r="G32" s="74" t="s">
        <v>178</v>
      </c>
      <c r="H32" s="74" t="s">
        <v>134</v>
      </c>
      <c r="I32" s="74"/>
      <c r="J32" s="74"/>
      <c r="K32" s="74"/>
      <c r="L32" s="74"/>
    </row>
    <row r="33" spans="1:12" ht="15" customHeight="1" thickBot="1" x14ac:dyDescent="0.25">
      <c r="A33" s="73" t="s">
        <v>184</v>
      </c>
      <c r="B33" s="73" t="s">
        <v>180</v>
      </c>
      <c r="C33" s="73" t="s">
        <v>181</v>
      </c>
      <c r="D33" s="74" t="s">
        <v>40</v>
      </c>
      <c r="E33" s="74" t="s">
        <v>40</v>
      </c>
      <c r="F33" s="74" t="s">
        <v>162</v>
      </c>
      <c r="G33" s="74" t="s">
        <v>182</v>
      </c>
      <c r="H33" s="74" t="s">
        <v>236</v>
      </c>
      <c r="I33" s="74"/>
      <c r="J33" s="74"/>
      <c r="K33" s="74"/>
      <c r="L33" s="74"/>
    </row>
    <row r="34" spans="1:12" ht="15" customHeight="1" thickBot="1" x14ac:dyDescent="0.25">
      <c r="A34" s="73" t="s">
        <v>189</v>
      </c>
      <c r="B34" s="73" t="s">
        <v>185</v>
      </c>
      <c r="C34" s="73" t="s">
        <v>186</v>
      </c>
      <c r="D34" s="74" t="s">
        <v>40</v>
      </c>
      <c r="E34" s="74" t="s">
        <v>187</v>
      </c>
      <c r="F34" s="74" t="s">
        <v>162</v>
      </c>
      <c r="G34" s="74" t="s">
        <v>188</v>
      </c>
      <c r="H34" s="74" t="s">
        <v>54</v>
      </c>
      <c r="I34" s="74"/>
      <c r="J34" s="74"/>
      <c r="K34" s="74"/>
      <c r="L34" s="74"/>
    </row>
    <row r="35" spans="1:12" ht="15" customHeight="1" thickBot="1" x14ac:dyDescent="0.25">
      <c r="A35" s="73" t="s">
        <v>193</v>
      </c>
      <c r="B35" s="73" t="s">
        <v>190</v>
      </c>
      <c r="C35" s="73" t="s">
        <v>191</v>
      </c>
      <c r="D35" s="74" t="s">
        <v>40</v>
      </c>
      <c r="E35" s="74" t="s">
        <v>40</v>
      </c>
      <c r="F35" s="74" t="s">
        <v>162</v>
      </c>
      <c r="G35" s="74" t="s">
        <v>192</v>
      </c>
      <c r="H35" s="74" t="s">
        <v>145</v>
      </c>
      <c r="I35" s="74"/>
      <c r="J35" s="74"/>
      <c r="K35" s="74"/>
      <c r="L35" s="74"/>
    </row>
    <row r="36" spans="1:12" ht="27" customHeight="1" thickBot="1" x14ac:dyDescent="0.25">
      <c r="A36" s="73" t="s">
        <v>197</v>
      </c>
      <c r="B36" s="73" t="s">
        <v>194</v>
      </c>
      <c r="C36" s="73" t="s">
        <v>195</v>
      </c>
      <c r="D36" s="74" t="s">
        <v>40</v>
      </c>
      <c r="E36" s="74" t="s">
        <v>40</v>
      </c>
      <c r="F36" s="74" t="s">
        <v>162</v>
      </c>
      <c r="G36" s="74" t="s">
        <v>196</v>
      </c>
      <c r="H36" s="74" t="s">
        <v>184</v>
      </c>
      <c r="I36" s="74"/>
      <c r="J36" s="74"/>
      <c r="K36" s="74"/>
      <c r="L36" s="74"/>
    </row>
    <row r="37" spans="1:12" ht="15" customHeight="1" thickBot="1" x14ac:dyDescent="0.25">
      <c r="A37" s="73" t="s">
        <v>201</v>
      </c>
      <c r="B37" s="73" t="s">
        <v>198</v>
      </c>
      <c r="C37" s="73" t="s">
        <v>199</v>
      </c>
      <c r="D37" s="74" t="s">
        <v>40</v>
      </c>
      <c r="E37" s="74" t="s">
        <v>40</v>
      </c>
      <c r="F37" s="74" t="s">
        <v>162</v>
      </c>
      <c r="G37" s="74" t="s">
        <v>200</v>
      </c>
      <c r="H37" s="74" t="s">
        <v>184</v>
      </c>
      <c r="I37" s="74"/>
      <c r="J37" s="74"/>
      <c r="K37" s="74"/>
      <c r="L37" s="74"/>
    </row>
    <row r="38" spans="1:12" ht="15" customHeight="1" thickBot="1" x14ac:dyDescent="0.25">
      <c r="A38" s="73" t="s">
        <v>205</v>
      </c>
      <c r="B38" s="73" t="s">
        <v>202</v>
      </c>
      <c r="C38" s="73" t="s">
        <v>203</v>
      </c>
      <c r="D38" s="74" t="s">
        <v>40</v>
      </c>
      <c r="E38" s="74" t="s">
        <v>40</v>
      </c>
      <c r="F38" s="74" t="s">
        <v>162</v>
      </c>
      <c r="G38" s="74" t="s">
        <v>204</v>
      </c>
      <c r="H38" s="74" t="s">
        <v>41</v>
      </c>
      <c r="I38" s="74"/>
      <c r="J38" s="74"/>
      <c r="K38" s="74"/>
      <c r="L38" s="74"/>
    </row>
    <row r="39" spans="1:12" ht="15" customHeight="1" thickBot="1" x14ac:dyDescent="0.25">
      <c r="A39" s="73" t="s">
        <v>164</v>
      </c>
      <c r="B39" s="73" t="s">
        <v>206</v>
      </c>
      <c r="C39" s="73" t="s">
        <v>207</v>
      </c>
      <c r="D39" s="74" t="s">
        <v>40</v>
      </c>
      <c r="E39" s="74" t="s">
        <v>40</v>
      </c>
      <c r="F39" s="74" t="s">
        <v>162</v>
      </c>
      <c r="G39" s="74" t="s">
        <v>208</v>
      </c>
      <c r="H39" s="74" t="s">
        <v>37</v>
      </c>
      <c r="I39" s="74"/>
      <c r="J39" s="74"/>
      <c r="K39" s="74"/>
      <c r="L39" s="74"/>
    </row>
    <row r="40" spans="1:12" ht="15" customHeight="1" thickBot="1" x14ac:dyDescent="0.25">
      <c r="A40" s="73" t="s">
        <v>211</v>
      </c>
      <c r="B40" s="73" t="s">
        <v>209</v>
      </c>
      <c r="C40" s="73" t="s">
        <v>210</v>
      </c>
      <c r="D40" s="74" t="s">
        <v>40</v>
      </c>
      <c r="E40" s="74" t="s">
        <v>40</v>
      </c>
      <c r="F40" s="74" t="s">
        <v>162</v>
      </c>
      <c r="G40" s="74" t="s">
        <v>192</v>
      </c>
      <c r="H40" s="74" t="s">
        <v>145</v>
      </c>
      <c r="I40" s="74"/>
      <c r="J40" s="74"/>
      <c r="K40" s="74"/>
      <c r="L40" s="74"/>
    </row>
    <row r="41" spans="1:12" ht="27" customHeight="1" thickBot="1" x14ac:dyDescent="0.25">
      <c r="A41" s="73" t="s">
        <v>216</v>
      </c>
      <c r="B41" s="73" t="s">
        <v>212</v>
      </c>
      <c r="C41" s="73" t="s">
        <v>213</v>
      </c>
      <c r="D41" s="74" t="s">
        <v>214</v>
      </c>
      <c r="E41" s="74" t="s">
        <v>40</v>
      </c>
      <c r="F41" s="74" t="s">
        <v>215</v>
      </c>
      <c r="G41" s="74" t="s">
        <v>40</v>
      </c>
      <c r="H41" s="74" t="s">
        <v>37</v>
      </c>
      <c r="I41" s="74"/>
      <c r="J41" s="74"/>
      <c r="K41" s="74"/>
      <c r="L41" s="74"/>
    </row>
    <row r="42" spans="1:12" ht="27" customHeight="1" thickBot="1" x14ac:dyDescent="0.25">
      <c r="A42" s="73" t="s">
        <v>218</v>
      </c>
      <c r="B42" s="73" t="s">
        <v>212</v>
      </c>
      <c r="C42" s="73" t="s">
        <v>217</v>
      </c>
      <c r="D42" s="74" t="s">
        <v>214</v>
      </c>
      <c r="E42" s="74" t="s">
        <v>40</v>
      </c>
      <c r="F42" s="74" t="s">
        <v>215</v>
      </c>
      <c r="G42" s="74" t="s">
        <v>40</v>
      </c>
      <c r="H42" s="74" t="s">
        <v>64</v>
      </c>
      <c r="I42" s="74"/>
      <c r="J42" s="74"/>
      <c r="K42" s="74"/>
      <c r="L42" s="74"/>
    </row>
    <row r="43" spans="1:12" ht="15" customHeight="1" thickBot="1" x14ac:dyDescent="0.25">
      <c r="A43" s="73" t="s">
        <v>223</v>
      </c>
      <c r="B43" s="73" t="s">
        <v>219</v>
      </c>
      <c r="C43" s="73" t="s">
        <v>220</v>
      </c>
      <c r="D43" s="74" t="s">
        <v>221</v>
      </c>
      <c r="E43" s="74" t="s">
        <v>222</v>
      </c>
      <c r="F43" s="74" t="s">
        <v>215</v>
      </c>
      <c r="G43" s="74" t="s">
        <v>213</v>
      </c>
      <c r="H43" s="74" t="s">
        <v>54</v>
      </c>
      <c r="I43" s="74"/>
      <c r="J43" s="74"/>
      <c r="K43" s="74"/>
      <c r="L43" s="74"/>
    </row>
    <row r="44" spans="1:12" ht="15" customHeight="1" x14ac:dyDescent="0.2">
      <c r="A44" s="75" t="s">
        <v>237</v>
      </c>
      <c r="B44" s="75" t="s">
        <v>219</v>
      </c>
      <c r="C44" s="75" t="s">
        <v>224</v>
      </c>
      <c r="D44" s="76" t="s">
        <v>225</v>
      </c>
      <c r="E44" s="76" t="s">
        <v>222</v>
      </c>
      <c r="F44" s="76" t="s">
        <v>215</v>
      </c>
      <c r="G44" s="76" t="s">
        <v>217</v>
      </c>
      <c r="H44" s="76" t="s">
        <v>226</v>
      </c>
      <c r="I44" s="76"/>
      <c r="J44" s="76"/>
      <c r="K44" s="76"/>
      <c r="L44" s="76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/>
  <headerFooter>
    <oddHeader xml:space="preserve">&amp;L&amp;"ABB Logo,Plain"&amp;42ABB&amp;20
&amp;"Arial,Regular"&amp;11ABB Suiza SA&amp;C&amp;14Bill of Material&amp;R&amp;14
</oddHeader>
    <oddFooter>&amp;L&amp;11Prepared / M. G. PRESTA
Approved / F. DEL CARLO&amp;R&amp;11&amp;F
Date: &amp;D &amp; =IF(0 &lt;&gt;""; Rev. ind.: 0; "")
Sheet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AG44"/>
  <sheetViews>
    <sheetView zoomScaleNormal="100" zoomScaleSheetLayoutView="100" workbookViewId="0">
      <pane ySplit="3" topLeftCell="A4" activePane="bottomLeft" state="frozen"/>
      <selection pane="bottomLeft"/>
    </sheetView>
  </sheetViews>
  <sheetFormatPr defaultRowHeight="12.75" x14ac:dyDescent="0.2"/>
  <cols>
    <col min="1" max="1" width="5.5703125" style="66" customWidth="1"/>
    <col min="2" max="2" width="27.140625" style="66" customWidth="1"/>
    <col min="3" max="3" width="32.5703125" style="66" customWidth="1"/>
    <col min="4" max="4" width="22.5703125" style="66" customWidth="1"/>
    <col min="5" max="5" width="22.7109375" style="66" customWidth="1"/>
    <col min="6" max="6" width="20.5703125" style="66" customWidth="1"/>
    <col min="7" max="7" width="22.5703125" style="66" customWidth="1"/>
    <col min="8" max="8" width="9.140625" style="66" customWidth="1"/>
    <col min="9" max="9" width="8.5703125" style="66" customWidth="1"/>
    <col min="10" max="10" width="17.5703125" style="66" customWidth="1"/>
    <col min="11" max="11" width="21.7109375" style="66" customWidth="1"/>
    <col min="12" max="12" width="6.5703125" style="66" customWidth="1"/>
    <col min="13" max="13" width="28.5703125" style="66" customWidth="1"/>
  </cols>
  <sheetData>
    <row r="1" spans="1:33" x14ac:dyDescent="0.2">
      <c r="C1" s="54"/>
      <c r="D1" s="66" t="s">
        <v>227</v>
      </c>
      <c r="E1" s="66">
        <v>1</v>
      </c>
    </row>
    <row r="2" spans="1:33" s="19" customFormat="1" ht="25.15" customHeight="1" x14ac:dyDescent="0.25">
      <c r="A2" s="142"/>
      <c r="B2" s="142"/>
      <c r="C2" s="142"/>
      <c r="D2" s="142"/>
      <c r="E2" s="142"/>
      <c r="F2" s="142"/>
      <c r="G2" s="142"/>
      <c r="H2" s="142"/>
      <c r="I2" s="142"/>
      <c r="J2" s="142"/>
      <c r="K2" s="49"/>
      <c r="L2" s="44"/>
      <c r="M2" s="22"/>
      <c r="N2" s="22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</row>
    <row r="3" spans="1:33" ht="36" customHeight="1" thickBot="1" x14ac:dyDescent="0.25">
      <c r="A3" s="65" t="s">
        <v>14</v>
      </c>
      <c r="B3" s="65" t="s">
        <v>0</v>
      </c>
      <c r="C3" s="65" t="s">
        <v>30</v>
      </c>
      <c r="D3" s="65" t="s">
        <v>5</v>
      </c>
      <c r="E3" s="65" t="s">
        <v>26</v>
      </c>
      <c r="F3" s="65" t="s">
        <v>31</v>
      </c>
      <c r="G3" s="65" t="s">
        <v>16</v>
      </c>
      <c r="H3" s="65" t="s">
        <v>35</v>
      </c>
      <c r="I3" s="65" t="s">
        <v>36</v>
      </c>
      <c r="J3" s="65" t="s">
        <v>33</v>
      </c>
      <c r="K3" s="65" t="s">
        <v>34</v>
      </c>
      <c r="L3" s="65" t="s">
        <v>17</v>
      </c>
    </row>
    <row r="4" spans="1:33" ht="15" customHeight="1" thickBot="1" x14ac:dyDescent="0.25">
      <c r="A4" s="73" t="s">
        <v>37</v>
      </c>
      <c r="B4" s="73" t="s">
        <v>228</v>
      </c>
      <c r="C4" s="73" t="s">
        <v>229</v>
      </c>
      <c r="D4" s="74" t="s">
        <v>40</v>
      </c>
      <c r="E4" s="74" t="s">
        <v>40</v>
      </c>
      <c r="F4" s="74" t="s">
        <v>40</v>
      </c>
      <c r="G4" s="74" t="s">
        <v>40</v>
      </c>
      <c r="H4" s="74" t="s">
        <v>41</v>
      </c>
      <c r="I4" s="74"/>
      <c r="J4" s="74"/>
      <c r="K4" s="74"/>
      <c r="L4" s="74"/>
    </row>
    <row r="5" spans="1:33" ht="15" customHeight="1" thickBot="1" x14ac:dyDescent="0.25">
      <c r="A5" s="73" t="s">
        <v>41</v>
      </c>
      <c r="B5" s="73" t="s">
        <v>38</v>
      </c>
      <c r="C5" s="73" t="s">
        <v>39</v>
      </c>
      <c r="D5" s="74" t="s">
        <v>40</v>
      </c>
      <c r="E5" s="74" t="s">
        <v>40</v>
      </c>
      <c r="F5" s="74" t="s">
        <v>40</v>
      </c>
      <c r="G5" s="74" t="s">
        <v>40</v>
      </c>
      <c r="H5" s="74" t="s">
        <v>37</v>
      </c>
      <c r="I5" s="74"/>
      <c r="J5" s="74"/>
      <c r="K5" s="74"/>
      <c r="L5" s="74"/>
    </row>
    <row r="6" spans="1:33" ht="27" customHeight="1" thickBot="1" x14ac:dyDescent="0.25">
      <c r="A6" s="73" t="s">
        <v>48</v>
      </c>
      <c r="B6" s="73" t="s">
        <v>42</v>
      </c>
      <c r="C6" s="73" t="s">
        <v>43</v>
      </c>
      <c r="D6" s="74" t="s">
        <v>44</v>
      </c>
      <c r="E6" s="74" t="s">
        <v>45</v>
      </c>
      <c r="F6" s="74" t="s">
        <v>46</v>
      </c>
      <c r="G6" s="74" t="s">
        <v>47</v>
      </c>
      <c r="H6" s="74" t="s">
        <v>41</v>
      </c>
      <c r="I6" s="74"/>
      <c r="J6" s="74"/>
      <c r="K6" s="74"/>
      <c r="L6" s="74"/>
    </row>
    <row r="7" spans="1:33" ht="15" customHeight="1" thickBot="1" x14ac:dyDescent="0.25">
      <c r="A7" s="73" t="s">
        <v>54</v>
      </c>
      <c r="B7" s="73" t="s">
        <v>49</v>
      </c>
      <c r="C7" s="73" t="s">
        <v>50</v>
      </c>
      <c r="D7" s="74" t="s">
        <v>51</v>
      </c>
      <c r="E7" s="74" t="s">
        <v>52</v>
      </c>
      <c r="F7" s="74" t="s">
        <v>46</v>
      </c>
      <c r="G7" s="74" t="s">
        <v>53</v>
      </c>
      <c r="H7" s="74" t="s">
        <v>41</v>
      </c>
      <c r="I7" s="74"/>
      <c r="J7" s="74"/>
      <c r="K7" s="74"/>
      <c r="L7" s="74"/>
    </row>
    <row r="8" spans="1:33" ht="15" customHeight="1" thickBot="1" x14ac:dyDescent="0.25">
      <c r="A8" s="73" t="s">
        <v>60</v>
      </c>
      <c r="B8" s="73" t="s">
        <v>49</v>
      </c>
      <c r="C8" s="73" t="s">
        <v>55</v>
      </c>
      <c r="D8" s="74" t="s">
        <v>56</v>
      </c>
      <c r="E8" s="74" t="s">
        <v>57</v>
      </c>
      <c r="F8" s="74" t="s">
        <v>46</v>
      </c>
      <c r="G8" s="74" t="s">
        <v>58</v>
      </c>
      <c r="H8" s="74" t="s">
        <v>59</v>
      </c>
      <c r="I8" s="74"/>
      <c r="J8" s="74"/>
      <c r="K8" s="74"/>
      <c r="L8" s="74"/>
    </row>
    <row r="9" spans="1:33" ht="15" customHeight="1" thickBot="1" x14ac:dyDescent="0.25">
      <c r="A9" s="73" t="s">
        <v>64</v>
      </c>
      <c r="B9" s="73" t="s">
        <v>49</v>
      </c>
      <c r="C9" s="73" t="s">
        <v>61</v>
      </c>
      <c r="D9" s="74" t="s">
        <v>56</v>
      </c>
      <c r="E9" s="74" t="s">
        <v>62</v>
      </c>
      <c r="F9" s="74" t="s">
        <v>46</v>
      </c>
      <c r="G9" s="74" t="s">
        <v>63</v>
      </c>
      <c r="H9" s="74" t="s">
        <v>41</v>
      </c>
      <c r="I9" s="74"/>
      <c r="J9" s="74"/>
      <c r="K9" s="74"/>
      <c r="L9" s="74"/>
    </row>
    <row r="10" spans="1:33" ht="15" customHeight="1" thickBot="1" x14ac:dyDescent="0.25">
      <c r="A10" s="73" t="s">
        <v>69</v>
      </c>
      <c r="B10" s="73" t="s">
        <v>65</v>
      </c>
      <c r="C10" s="73" t="s">
        <v>66</v>
      </c>
      <c r="D10" s="74" t="s">
        <v>67</v>
      </c>
      <c r="E10" s="74" t="s">
        <v>52</v>
      </c>
      <c r="F10" s="74" t="s">
        <v>46</v>
      </c>
      <c r="G10" s="74" t="s">
        <v>68</v>
      </c>
      <c r="H10" s="74" t="s">
        <v>41</v>
      </c>
      <c r="I10" s="74"/>
      <c r="J10" s="74"/>
      <c r="K10" s="74"/>
      <c r="L10" s="74"/>
    </row>
    <row r="11" spans="1:33" ht="15" customHeight="1" thickBot="1" x14ac:dyDescent="0.25">
      <c r="A11" s="73" t="s">
        <v>74</v>
      </c>
      <c r="B11" s="73" t="s">
        <v>70</v>
      </c>
      <c r="C11" s="73" t="s">
        <v>71</v>
      </c>
      <c r="D11" s="74" t="s">
        <v>72</v>
      </c>
      <c r="E11" s="74" t="s">
        <v>40</v>
      </c>
      <c r="F11" s="74" t="s">
        <v>46</v>
      </c>
      <c r="G11" s="74" t="s">
        <v>73</v>
      </c>
      <c r="H11" s="74" t="s">
        <v>48</v>
      </c>
      <c r="I11" s="74"/>
      <c r="J11" s="74"/>
      <c r="K11" s="74"/>
      <c r="L11" s="74"/>
    </row>
    <row r="12" spans="1:33" ht="27" customHeight="1" thickBot="1" x14ac:dyDescent="0.25">
      <c r="A12" s="73" t="s">
        <v>80</v>
      </c>
      <c r="B12" s="73" t="s">
        <v>75</v>
      </c>
      <c r="C12" s="73" t="s">
        <v>76</v>
      </c>
      <c r="D12" s="74" t="s">
        <v>77</v>
      </c>
      <c r="E12" s="74" t="s">
        <v>78</v>
      </c>
      <c r="F12" s="74" t="s">
        <v>46</v>
      </c>
      <c r="G12" s="74" t="s">
        <v>79</v>
      </c>
      <c r="H12" s="74" t="s">
        <v>41</v>
      </c>
      <c r="I12" s="74"/>
      <c r="J12" s="74"/>
      <c r="K12" s="74"/>
      <c r="L12" s="74"/>
    </row>
    <row r="13" spans="1:33" ht="27" customHeight="1" thickBot="1" x14ac:dyDescent="0.25">
      <c r="A13" s="73" t="s">
        <v>85</v>
      </c>
      <c r="B13" s="73" t="s">
        <v>81</v>
      </c>
      <c r="C13" s="73" t="s">
        <v>82</v>
      </c>
      <c r="D13" s="74" t="s">
        <v>72</v>
      </c>
      <c r="E13" s="74" t="s">
        <v>83</v>
      </c>
      <c r="F13" s="74" t="s">
        <v>46</v>
      </c>
      <c r="G13" s="74" t="s">
        <v>84</v>
      </c>
      <c r="H13" s="74" t="s">
        <v>37</v>
      </c>
      <c r="I13" s="74"/>
      <c r="J13" s="74"/>
      <c r="K13" s="74"/>
      <c r="L13" s="74"/>
    </row>
    <row r="14" spans="1:33" ht="27" customHeight="1" thickBot="1" x14ac:dyDescent="0.25">
      <c r="A14" s="73" t="s">
        <v>89</v>
      </c>
      <c r="B14" s="73" t="s">
        <v>230</v>
      </c>
      <c r="C14" s="73" t="s">
        <v>231</v>
      </c>
      <c r="D14" s="74" t="s">
        <v>40</v>
      </c>
      <c r="E14" s="74" t="s">
        <v>40</v>
      </c>
      <c r="F14" s="74" t="s">
        <v>46</v>
      </c>
      <c r="G14" s="74" t="s">
        <v>232</v>
      </c>
      <c r="H14" s="74" t="s">
        <v>41</v>
      </c>
      <c r="I14" s="74"/>
      <c r="J14" s="74"/>
      <c r="K14" s="74"/>
      <c r="L14" s="74"/>
    </row>
    <row r="15" spans="1:33" ht="15" customHeight="1" thickBot="1" x14ac:dyDescent="0.25">
      <c r="A15" s="73" t="s">
        <v>95</v>
      </c>
      <c r="B15" s="73" t="s">
        <v>90</v>
      </c>
      <c r="C15" s="73" t="s">
        <v>91</v>
      </c>
      <c r="D15" s="74" t="s">
        <v>92</v>
      </c>
      <c r="E15" s="74" t="s">
        <v>93</v>
      </c>
      <c r="F15" s="74" t="s">
        <v>46</v>
      </c>
      <c r="G15" s="74" t="s">
        <v>94</v>
      </c>
      <c r="H15" s="74" t="s">
        <v>37</v>
      </c>
      <c r="I15" s="74"/>
      <c r="J15" s="74"/>
      <c r="K15" s="74"/>
      <c r="L15" s="74"/>
    </row>
    <row r="16" spans="1:33" ht="15" customHeight="1" thickBot="1" x14ac:dyDescent="0.25">
      <c r="A16" s="73" t="s">
        <v>101</v>
      </c>
      <c r="B16" s="73" t="s">
        <v>96</v>
      </c>
      <c r="C16" s="73" t="s">
        <v>97</v>
      </c>
      <c r="D16" s="74" t="s">
        <v>98</v>
      </c>
      <c r="E16" s="74" t="s">
        <v>99</v>
      </c>
      <c r="F16" s="74" t="s">
        <v>46</v>
      </c>
      <c r="G16" s="74" t="s">
        <v>100</v>
      </c>
      <c r="H16" s="74" t="s">
        <v>54</v>
      </c>
      <c r="I16" s="74"/>
      <c r="J16" s="74"/>
      <c r="K16" s="74"/>
      <c r="L16" s="74"/>
    </row>
    <row r="17" spans="1:12" ht="15" customHeight="1" thickBot="1" x14ac:dyDescent="0.25">
      <c r="A17" s="73" t="s">
        <v>59</v>
      </c>
      <c r="B17" s="73" t="s">
        <v>102</v>
      </c>
      <c r="C17" s="73" t="s">
        <v>103</v>
      </c>
      <c r="D17" s="74" t="s">
        <v>104</v>
      </c>
      <c r="E17" s="74" t="s">
        <v>52</v>
      </c>
      <c r="F17" s="74" t="s">
        <v>46</v>
      </c>
      <c r="G17" s="74" t="s">
        <v>105</v>
      </c>
      <c r="H17" s="74" t="s">
        <v>41</v>
      </c>
      <c r="I17" s="74"/>
      <c r="J17" s="74"/>
      <c r="K17" s="74"/>
      <c r="L17" s="74"/>
    </row>
    <row r="18" spans="1:12" ht="15" customHeight="1" thickBot="1" x14ac:dyDescent="0.25">
      <c r="A18" s="73" t="s">
        <v>110</v>
      </c>
      <c r="B18" s="73" t="s">
        <v>106</v>
      </c>
      <c r="C18" s="73" t="s">
        <v>107</v>
      </c>
      <c r="D18" s="74" t="s">
        <v>108</v>
      </c>
      <c r="E18" s="74" t="s">
        <v>40</v>
      </c>
      <c r="F18" s="74" t="s">
        <v>46</v>
      </c>
      <c r="G18" s="74" t="s">
        <v>109</v>
      </c>
      <c r="H18" s="74" t="s">
        <v>41</v>
      </c>
      <c r="I18" s="74"/>
      <c r="J18" s="74"/>
      <c r="K18" s="74"/>
      <c r="L18" s="74"/>
    </row>
    <row r="19" spans="1:12" ht="27" customHeight="1" thickBot="1" x14ac:dyDescent="0.25">
      <c r="A19" s="73" t="s">
        <v>116</v>
      </c>
      <c r="B19" s="73" t="s">
        <v>111</v>
      </c>
      <c r="C19" s="73" t="s">
        <v>112</v>
      </c>
      <c r="D19" s="74" t="s">
        <v>113</v>
      </c>
      <c r="E19" s="74" t="s">
        <v>114</v>
      </c>
      <c r="F19" s="74" t="s">
        <v>46</v>
      </c>
      <c r="G19" s="74" t="s">
        <v>115</v>
      </c>
      <c r="H19" s="74" t="s">
        <v>41</v>
      </c>
      <c r="I19" s="74"/>
      <c r="J19" s="74"/>
      <c r="K19" s="74"/>
      <c r="L19" s="74"/>
    </row>
    <row r="20" spans="1:12" ht="27" customHeight="1" thickBot="1" x14ac:dyDescent="0.25">
      <c r="A20" s="73" t="s">
        <v>120</v>
      </c>
      <c r="B20" s="73" t="s">
        <v>111</v>
      </c>
      <c r="C20" s="73" t="s">
        <v>117</v>
      </c>
      <c r="D20" s="74" t="s">
        <v>113</v>
      </c>
      <c r="E20" s="74" t="s">
        <v>118</v>
      </c>
      <c r="F20" s="74" t="s">
        <v>46</v>
      </c>
      <c r="G20" s="74" t="s">
        <v>119</v>
      </c>
      <c r="H20" s="74" t="s">
        <v>41</v>
      </c>
      <c r="I20" s="74"/>
      <c r="J20" s="74"/>
      <c r="K20" s="74"/>
      <c r="L20" s="74"/>
    </row>
    <row r="21" spans="1:12" ht="27" customHeight="1" thickBot="1" x14ac:dyDescent="0.25">
      <c r="A21" s="73" t="s">
        <v>123</v>
      </c>
      <c r="B21" s="73" t="s">
        <v>111</v>
      </c>
      <c r="C21" s="73" t="s">
        <v>121</v>
      </c>
      <c r="D21" s="74" t="s">
        <v>113</v>
      </c>
      <c r="E21" s="74" t="s">
        <v>118</v>
      </c>
      <c r="F21" s="74" t="s">
        <v>46</v>
      </c>
      <c r="G21" s="74" t="s">
        <v>122</v>
      </c>
      <c r="H21" s="74" t="s">
        <v>41</v>
      </c>
      <c r="I21" s="74"/>
      <c r="J21" s="74"/>
      <c r="K21" s="74"/>
      <c r="L21" s="74"/>
    </row>
    <row r="22" spans="1:12" ht="15" customHeight="1" thickBot="1" x14ac:dyDescent="0.25">
      <c r="A22" s="73" t="s">
        <v>128</v>
      </c>
      <c r="B22" s="73" t="s">
        <v>124</v>
      </c>
      <c r="C22" s="73" t="s">
        <v>233</v>
      </c>
      <c r="D22" s="74" t="s">
        <v>126</v>
      </c>
      <c r="E22" s="74" t="s">
        <v>40</v>
      </c>
      <c r="F22" s="74" t="s">
        <v>46</v>
      </c>
      <c r="G22" s="74" t="s">
        <v>234</v>
      </c>
      <c r="H22" s="74" t="s">
        <v>41</v>
      </c>
      <c r="I22" s="74"/>
      <c r="J22" s="74"/>
      <c r="K22" s="74"/>
      <c r="L22" s="74"/>
    </row>
    <row r="23" spans="1:12" ht="15" customHeight="1" thickBot="1" x14ac:dyDescent="0.25">
      <c r="A23" s="73" t="s">
        <v>134</v>
      </c>
      <c r="B23" s="73" t="s">
        <v>129</v>
      </c>
      <c r="C23" s="73" t="s">
        <v>130</v>
      </c>
      <c r="D23" s="74" t="s">
        <v>40</v>
      </c>
      <c r="E23" s="74" t="s">
        <v>131</v>
      </c>
      <c r="F23" s="74" t="s">
        <v>132</v>
      </c>
      <c r="G23" s="74" t="s">
        <v>133</v>
      </c>
      <c r="H23" s="74" t="s">
        <v>37</v>
      </c>
      <c r="I23" s="74"/>
      <c r="J23" s="74"/>
      <c r="K23" s="74"/>
      <c r="L23" s="74"/>
    </row>
    <row r="24" spans="1:12" ht="15" customHeight="1" thickBot="1" x14ac:dyDescent="0.25">
      <c r="A24" s="73" t="s">
        <v>139</v>
      </c>
      <c r="B24" s="73" t="s">
        <v>135</v>
      </c>
      <c r="C24" s="73" t="s">
        <v>136</v>
      </c>
      <c r="D24" s="74" t="s">
        <v>137</v>
      </c>
      <c r="E24" s="74" t="s">
        <v>138</v>
      </c>
      <c r="F24" s="74" t="s">
        <v>132</v>
      </c>
      <c r="G24" s="74" t="s">
        <v>136</v>
      </c>
      <c r="H24" s="74" t="s">
        <v>37</v>
      </c>
      <c r="I24" s="74"/>
      <c r="J24" s="74"/>
      <c r="K24" s="74"/>
      <c r="L24" s="74"/>
    </row>
    <row r="25" spans="1:12" ht="27" customHeight="1" thickBot="1" x14ac:dyDescent="0.25">
      <c r="A25" s="73" t="s">
        <v>145</v>
      </c>
      <c r="B25" s="73" t="s">
        <v>140</v>
      </c>
      <c r="C25" s="73" t="s">
        <v>141</v>
      </c>
      <c r="D25" s="74" t="s">
        <v>142</v>
      </c>
      <c r="E25" s="74" t="s">
        <v>40</v>
      </c>
      <c r="F25" s="74" t="s">
        <v>143</v>
      </c>
      <c r="G25" s="74" t="s">
        <v>144</v>
      </c>
      <c r="H25" s="74" t="s">
        <v>37</v>
      </c>
      <c r="I25" s="74"/>
      <c r="J25" s="74"/>
      <c r="K25" s="74"/>
      <c r="L25" s="74"/>
    </row>
    <row r="26" spans="1:12" ht="15" customHeight="1" thickBot="1" x14ac:dyDescent="0.25">
      <c r="A26" s="73" t="s">
        <v>149</v>
      </c>
      <c r="B26" s="73" t="s">
        <v>146</v>
      </c>
      <c r="C26" s="73" t="s">
        <v>147</v>
      </c>
      <c r="D26" s="74" t="s">
        <v>40</v>
      </c>
      <c r="E26" s="74" t="s">
        <v>40</v>
      </c>
      <c r="F26" s="74" t="s">
        <v>143</v>
      </c>
      <c r="G26" s="74" t="s">
        <v>148</v>
      </c>
      <c r="H26" s="74" t="s">
        <v>41</v>
      </c>
      <c r="I26" s="74"/>
      <c r="J26" s="74"/>
      <c r="K26" s="74"/>
      <c r="L26" s="74"/>
    </row>
    <row r="27" spans="1:12" ht="15" customHeight="1" thickBot="1" x14ac:dyDescent="0.25">
      <c r="A27" s="73" t="s">
        <v>155</v>
      </c>
      <c r="B27" s="73" t="s">
        <v>150</v>
      </c>
      <c r="C27" s="73" t="s">
        <v>151</v>
      </c>
      <c r="D27" s="74" t="s">
        <v>152</v>
      </c>
      <c r="E27" s="74" t="s">
        <v>153</v>
      </c>
      <c r="F27" s="74" t="s">
        <v>143</v>
      </c>
      <c r="G27" s="74" t="s">
        <v>154</v>
      </c>
      <c r="H27" s="74" t="s">
        <v>37</v>
      </c>
      <c r="I27" s="74"/>
      <c r="J27" s="74"/>
      <c r="K27" s="74"/>
      <c r="L27" s="74"/>
    </row>
    <row r="28" spans="1:12" ht="15" customHeight="1" thickBot="1" x14ac:dyDescent="0.25">
      <c r="A28" s="73" t="s">
        <v>159</v>
      </c>
      <c r="B28" s="73" t="s">
        <v>156</v>
      </c>
      <c r="C28" s="73" t="s">
        <v>157</v>
      </c>
      <c r="D28" s="74" t="s">
        <v>40</v>
      </c>
      <c r="E28" s="74" t="s">
        <v>40</v>
      </c>
      <c r="F28" s="74" t="s">
        <v>158</v>
      </c>
      <c r="G28" s="74" t="s">
        <v>40</v>
      </c>
      <c r="H28" s="74" t="s">
        <v>37</v>
      </c>
      <c r="I28" s="74"/>
      <c r="J28" s="74"/>
      <c r="K28" s="74"/>
      <c r="L28" s="74"/>
    </row>
    <row r="29" spans="1:12" ht="15" customHeight="1" thickBot="1" x14ac:dyDescent="0.25">
      <c r="A29" s="73" t="s">
        <v>165</v>
      </c>
      <c r="B29" s="73" t="s">
        <v>160</v>
      </c>
      <c r="C29" s="73" t="s">
        <v>161</v>
      </c>
      <c r="D29" s="74" t="s">
        <v>40</v>
      </c>
      <c r="E29" s="74" t="s">
        <v>40</v>
      </c>
      <c r="F29" s="74" t="s">
        <v>162</v>
      </c>
      <c r="G29" s="74" t="s">
        <v>163</v>
      </c>
      <c r="H29" s="74" t="s">
        <v>164</v>
      </c>
      <c r="I29" s="74"/>
      <c r="J29" s="74"/>
      <c r="K29" s="74"/>
      <c r="L29" s="74"/>
    </row>
    <row r="30" spans="1:12" ht="27" customHeight="1" thickBot="1" x14ac:dyDescent="0.25">
      <c r="A30" s="73" t="s">
        <v>170</v>
      </c>
      <c r="B30" s="73" t="s">
        <v>166</v>
      </c>
      <c r="C30" s="73" t="s">
        <v>167</v>
      </c>
      <c r="D30" s="74" t="s">
        <v>40</v>
      </c>
      <c r="E30" s="74" t="s">
        <v>40</v>
      </c>
      <c r="F30" s="74" t="s">
        <v>162</v>
      </c>
      <c r="G30" s="74" t="s">
        <v>168</v>
      </c>
      <c r="H30" s="74" t="s">
        <v>226</v>
      </c>
      <c r="I30" s="74"/>
      <c r="J30" s="74"/>
      <c r="K30" s="74"/>
      <c r="L30" s="74"/>
    </row>
    <row r="31" spans="1:12" ht="27" customHeight="1" thickBot="1" x14ac:dyDescent="0.25">
      <c r="A31" s="73" t="s">
        <v>175</v>
      </c>
      <c r="B31" s="73" t="s">
        <v>171</v>
      </c>
      <c r="C31" s="73" t="s">
        <v>172</v>
      </c>
      <c r="D31" s="74" t="s">
        <v>40</v>
      </c>
      <c r="E31" s="74" t="s">
        <v>40</v>
      </c>
      <c r="F31" s="74" t="s">
        <v>162</v>
      </c>
      <c r="G31" s="74" t="s">
        <v>173</v>
      </c>
      <c r="H31" s="74" t="s">
        <v>235</v>
      </c>
      <c r="I31" s="74"/>
      <c r="J31" s="74"/>
      <c r="K31" s="74"/>
      <c r="L31" s="74"/>
    </row>
    <row r="32" spans="1:12" ht="15" customHeight="1" thickBot="1" x14ac:dyDescent="0.25">
      <c r="A32" s="73" t="s">
        <v>179</v>
      </c>
      <c r="B32" s="73" t="s">
        <v>176</v>
      </c>
      <c r="C32" s="73" t="s">
        <v>177</v>
      </c>
      <c r="D32" s="74" t="s">
        <v>40</v>
      </c>
      <c r="E32" s="74" t="s">
        <v>40</v>
      </c>
      <c r="F32" s="74" t="s">
        <v>162</v>
      </c>
      <c r="G32" s="74" t="s">
        <v>178</v>
      </c>
      <c r="H32" s="74" t="s">
        <v>134</v>
      </c>
      <c r="I32" s="74"/>
      <c r="J32" s="74"/>
      <c r="K32" s="74"/>
      <c r="L32" s="74"/>
    </row>
    <row r="33" spans="1:12" ht="15" customHeight="1" thickBot="1" x14ac:dyDescent="0.25">
      <c r="A33" s="73" t="s">
        <v>184</v>
      </c>
      <c r="B33" s="73" t="s">
        <v>180</v>
      </c>
      <c r="C33" s="73" t="s">
        <v>181</v>
      </c>
      <c r="D33" s="74" t="s">
        <v>40</v>
      </c>
      <c r="E33" s="74" t="s">
        <v>40</v>
      </c>
      <c r="F33" s="74" t="s">
        <v>162</v>
      </c>
      <c r="G33" s="74" t="s">
        <v>182</v>
      </c>
      <c r="H33" s="74" t="s">
        <v>236</v>
      </c>
      <c r="I33" s="74"/>
      <c r="J33" s="74"/>
      <c r="K33" s="74"/>
      <c r="L33" s="74"/>
    </row>
    <row r="34" spans="1:12" ht="15" customHeight="1" thickBot="1" x14ac:dyDescent="0.25">
      <c r="A34" s="73" t="s">
        <v>189</v>
      </c>
      <c r="B34" s="73" t="s">
        <v>185</v>
      </c>
      <c r="C34" s="73" t="s">
        <v>186</v>
      </c>
      <c r="D34" s="74" t="s">
        <v>40</v>
      </c>
      <c r="E34" s="74" t="s">
        <v>187</v>
      </c>
      <c r="F34" s="74" t="s">
        <v>162</v>
      </c>
      <c r="G34" s="74" t="s">
        <v>188</v>
      </c>
      <c r="H34" s="74" t="s">
        <v>54</v>
      </c>
      <c r="I34" s="74"/>
      <c r="J34" s="74"/>
      <c r="K34" s="74"/>
      <c r="L34" s="74"/>
    </row>
    <row r="35" spans="1:12" ht="15" customHeight="1" thickBot="1" x14ac:dyDescent="0.25">
      <c r="A35" s="73" t="s">
        <v>193</v>
      </c>
      <c r="B35" s="73" t="s">
        <v>190</v>
      </c>
      <c r="C35" s="73" t="s">
        <v>191</v>
      </c>
      <c r="D35" s="74" t="s">
        <v>40</v>
      </c>
      <c r="E35" s="74" t="s">
        <v>40</v>
      </c>
      <c r="F35" s="74" t="s">
        <v>162</v>
      </c>
      <c r="G35" s="74" t="s">
        <v>192</v>
      </c>
      <c r="H35" s="74" t="s">
        <v>145</v>
      </c>
      <c r="I35" s="74"/>
      <c r="J35" s="74"/>
      <c r="K35" s="74"/>
      <c r="L35" s="74"/>
    </row>
    <row r="36" spans="1:12" ht="27" customHeight="1" thickBot="1" x14ac:dyDescent="0.25">
      <c r="A36" s="73" t="s">
        <v>197</v>
      </c>
      <c r="B36" s="73" t="s">
        <v>194</v>
      </c>
      <c r="C36" s="73" t="s">
        <v>195</v>
      </c>
      <c r="D36" s="74" t="s">
        <v>40</v>
      </c>
      <c r="E36" s="74" t="s">
        <v>40</v>
      </c>
      <c r="F36" s="74" t="s">
        <v>162</v>
      </c>
      <c r="G36" s="74" t="s">
        <v>196</v>
      </c>
      <c r="H36" s="74" t="s">
        <v>184</v>
      </c>
      <c r="I36" s="74"/>
      <c r="J36" s="74"/>
      <c r="K36" s="74"/>
      <c r="L36" s="74"/>
    </row>
    <row r="37" spans="1:12" ht="15" customHeight="1" thickBot="1" x14ac:dyDescent="0.25">
      <c r="A37" s="73" t="s">
        <v>201</v>
      </c>
      <c r="B37" s="73" t="s">
        <v>198</v>
      </c>
      <c r="C37" s="73" t="s">
        <v>199</v>
      </c>
      <c r="D37" s="74" t="s">
        <v>40</v>
      </c>
      <c r="E37" s="74" t="s">
        <v>40</v>
      </c>
      <c r="F37" s="74" t="s">
        <v>162</v>
      </c>
      <c r="G37" s="74" t="s">
        <v>200</v>
      </c>
      <c r="H37" s="74" t="s">
        <v>184</v>
      </c>
      <c r="I37" s="74"/>
      <c r="J37" s="74"/>
      <c r="K37" s="74"/>
      <c r="L37" s="74"/>
    </row>
    <row r="38" spans="1:12" ht="15" customHeight="1" thickBot="1" x14ac:dyDescent="0.25">
      <c r="A38" s="73" t="s">
        <v>205</v>
      </c>
      <c r="B38" s="73" t="s">
        <v>202</v>
      </c>
      <c r="C38" s="73" t="s">
        <v>203</v>
      </c>
      <c r="D38" s="74" t="s">
        <v>40</v>
      </c>
      <c r="E38" s="74" t="s">
        <v>40</v>
      </c>
      <c r="F38" s="74" t="s">
        <v>162</v>
      </c>
      <c r="G38" s="74" t="s">
        <v>204</v>
      </c>
      <c r="H38" s="74" t="s">
        <v>41</v>
      </c>
      <c r="I38" s="74"/>
      <c r="J38" s="74"/>
      <c r="K38" s="74"/>
      <c r="L38" s="74"/>
    </row>
    <row r="39" spans="1:12" ht="15" customHeight="1" thickBot="1" x14ac:dyDescent="0.25">
      <c r="A39" s="73" t="s">
        <v>164</v>
      </c>
      <c r="B39" s="73" t="s">
        <v>206</v>
      </c>
      <c r="C39" s="73" t="s">
        <v>207</v>
      </c>
      <c r="D39" s="74" t="s">
        <v>40</v>
      </c>
      <c r="E39" s="74" t="s">
        <v>40</v>
      </c>
      <c r="F39" s="74" t="s">
        <v>162</v>
      </c>
      <c r="G39" s="74" t="s">
        <v>208</v>
      </c>
      <c r="H39" s="74" t="s">
        <v>37</v>
      </c>
      <c r="I39" s="74"/>
      <c r="J39" s="74"/>
      <c r="K39" s="74"/>
      <c r="L39" s="74"/>
    </row>
    <row r="40" spans="1:12" ht="15" customHeight="1" thickBot="1" x14ac:dyDescent="0.25">
      <c r="A40" s="73" t="s">
        <v>211</v>
      </c>
      <c r="B40" s="73" t="s">
        <v>209</v>
      </c>
      <c r="C40" s="73" t="s">
        <v>210</v>
      </c>
      <c r="D40" s="74" t="s">
        <v>40</v>
      </c>
      <c r="E40" s="74" t="s">
        <v>40</v>
      </c>
      <c r="F40" s="74" t="s">
        <v>162</v>
      </c>
      <c r="G40" s="74" t="s">
        <v>192</v>
      </c>
      <c r="H40" s="74" t="s">
        <v>145</v>
      </c>
      <c r="I40" s="74"/>
      <c r="J40" s="74"/>
      <c r="K40" s="74"/>
      <c r="L40" s="74"/>
    </row>
    <row r="41" spans="1:12" ht="27" customHeight="1" thickBot="1" x14ac:dyDescent="0.25">
      <c r="A41" s="73" t="s">
        <v>216</v>
      </c>
      <c r="B41" s="73" t="s">
        <v>212</v>
      </c>
      <c r="C41" s="73" t="s">
        <v>213</v>
      </c>
      <c r="D41" s="74" t="s">
        <v>214</v>
      </c>
      <c r="E41" s="74" t="s">
        <v>40</v>
      </c>
      <c r="F41" s="74" t="s">
        <v>215</v>
      </c>
      <c r="G41" s="74" t="s">
        <v>40</v>
      </c>
      <c r="H41" s="74" t="s">
        <v>37</v>
      </c>
      <c r="I41" s="74"/>
      <c r="J41" s="74"/>
      <c r="K41" s="74"/>
      <c r="L41" s="74"/>
    </row>
    <row r="42" spans="1:12" ht="27" customHeight="1" thickBot="1" x14ac:dyDescent="0.25">
      <c r="A42" s="73" t="s">
        <v>218</v>
      </c>
      <c r="B42" s="73" t="s">
        <v>212</v>
      </c>
      <c r="C42" s="73" t="s">
        <v>217</v>
      </c>
      <c r="D42" s="74" t="s">
        <v>214</v>
      </c>
      <c r="E42" s="74" t="s">
        <v>40</v>
      </c>
      <c r="F42" s="74" t="s">
        <v>215</v>
      </c>
      <c r="G42" s="74" t="s">
        <v>40</v>
      </c>
      <c r="H42" s="74" t="s">
        <v>64</v>
      </c>
      <c r="I42" s="74"/>
      <c r="J42" s="74"/>
      <c r="K42" s="74"/>
      <c r="L42" s="74"/>
    </row>
    <row r="43" spans="1:12" ht="15" customHeight="1" thickBot="1" x14ac:dyDescent="0.25">
      <c r="A43" s="73" t="s">
        <v>223</v>
      </c>
      <c r="B43" s="73" t="s">
        <v>219</v>
      </c>
      <c r="C43" s="73" t="s">
        <v>220</v>
      </c>
      <c r="D43" s="74" t="s">
        <v>221</v>
      </c>
      <c r="E43" s="74" t="s">
        <v>222</v>
      </c>
      <c r="F43" s="74" t="s">
        <v>215</v>
      </c>
      <c r="G43" s="74" t="s">
        <v>213</v>
      </c>
      <c r="H43" s="74" t="s">
        <v>54</v>
      </c>
      <c r="I43" s="74"/>
      <c r="J43" s="74"/>
      <c r="K43" s="74"/>
      <c r="L43" s="74"/>
    </row>
    <row r="44" spans="1:12" ht="15" customHeight="1" x14ac:dyDescent="0.2">
      <c r="A44" s="75" t="s">
        <v>237</v>
      </c>
      <c r="B44" s="75" t="s">
        <v>219</v>
      </c>
      <c r="C44" s="75" t="s">
        <v>224</v>
      </c>
      <c r="D44" s="76" t="s">
        <v>225</v>
      </c>
      <c r="E44" s="76" t="s">
        <v>222</v>
      </c>
      <c r="F44" s="76" t="s">
        <v>215</v>
      </c>
      <c r="G44" s="76" t="s">
        <v>217</v>
      </c>
      <c r="H44" s="76" t="s">
        <v>226</v>
      </c>
      <c r="I44" s="76"/>
      <c r="J44" s="76"/>
      <c r="K44" s="76"/>
      <c r="L44" s="76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/>
  <headerFooter>
    <oddHeader xml:space="preserve">&amp;L&amp;"ABB Logo,Plain"&amp;42ABB&amp;20
&amp;"Arial,Regular"&amp;11ABB Suiza SA&amp;C&amp;14Bill of Material&amp;R&amp;14
</oddHeader>
    <oddFooter>&amp;L&amp;11Prepared / M. G. PRESTA
Approved / F. DEL CARLO&amp;R&amp;11&amp;F
Date: &amp;D &amp; =IF(0 &lt;&gt;""; Rev. ind.: 0; "")
Sheet &amp;P of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G45"/>
  <sheetViews>
    <sheetView zoomScaleNormal="100" zoomScaleSheetLayoutView="100" workbookViewId="0">
      <pane ySplit="3" topLeftCell="A4" activePane="bottomLeft" state="frozen"/>
      <selection pane="bottomLeft"/>
    </sheetView>
  </sheetViews>
  <sheetFormatPr defaultRowHeight="12.75" x14ac:dyDescent="0.2"/>
  <cols>
    <col min="1" max="1" width="5.5703125" style="66" customWidth="1"/>
    <col min="2" max="2" width="27.140625" style="66" customWidth="1"/>
    <col min="3" max="3" width="32.5703125" style="66" customWidth="1"/>
    <col min="4" max="4" width="22.5703125" style="66" customWidth="1"/>
    <col min="5" max="5" width="22.7109375" style="66" customWidth="1"/>
    <col min="6" max="6" width="20.5703125" style="66" customWidth="1"/>
    <col min="7" max="7" width="22.5703125" style="66" customWidth="1"/>
    <col min="8" max="8" width="9.140625" style="66" customWidth="1"/>
    <col min="9" max="9" width="8.5703125" style="66" customWidth="1"/>
    <col min="10" max="10" width="17.5703125" style="66" customWidth="1"/>
    <col min="11" max="11" width="21.7109375" style="66" customWidth="1"/>
    <col min="12" max="12" width="6.5703125" style="66" customWidth="1"/>
    <col min="13" max="13" width="28.5703125" style="66" customWidth="1"/>
  </cols>
  <sheetData>
    <row r="1" spans="1:33" x14ac:dyDescent="0.2">
      <c r="C1" s="54"/>
      <c r="D1" s="66" t="s">
        <v>227</v>
      </c>
      <c r="E1" s="66">
        <v>1</v>
      </c>
    </row>
    <row r="2" spans="1:33" s="19" customFormat="1" ht="25.15" customHeight="1" x14ac:dyDescent="0.25">
      <c r="A2" s="142"/>
      <c r="B2" s="142"/>
      <c r="C2" s="142"/>
      <c r="D2" s="142"/>
      <c r="E2" s="142"/>
      <c r="F2" s="142"/>
      <c r="G2" s="142"/>
      <c r="H2" s="142"/>
      <c r="I2" s="142"/>
      <c r="J2" s="142"/>
      <c r="K2" s="49"/>
      <c r="L2" s="44"/>
      <c r="M2" s="22"/>
      <c r="N2" s="22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</row>
    <row r="3" spans="1:33" ht="36" customHeight="1" thickBot="1" x14ac:dyDescent="0.25">
      <c r="A3" s="65" t="s">
        <v>14</v>
      </c>
      <c r="B3" s="65" t="s">
        <v>0</v>
      </c>
      <c r="C3" s="65" t="s">
        <v>30</v>
      </c>
      <c r="D3" s="65" t="s">
        <v>5</v>
      </c>
      <c r="E3" s="65" t="s">
        <v>26</v>
      </c>
      <c r="F3" s="65" t="s">
        <v>31</v>
      </c>
      <c r="G3" s="65" t="s">
        <v>16</v>
      </c>
      <c r="H3" s="65" t="s">
        <v>35</v>
      </c>
      <c r="I3" s="65" t="s">
        <v>36</v>
      </c>
      <c r="J3" s="65" t="s">
        <v>33</v>
      </c>
      <c r="K3" s="65" t="s">
        <v>34</v>
      </c>
      <c r="L3" s="65" t="s">
        <v>17</v>
      </c>
    </row>
    <row r="4" spans="1:33" ht="15" customHeight="1" thickBot="1" x14ac:dyDescent="0.25">
      <c r="A4" s="73" t="s">
        <v>37</v>
      </c>
      <c r="B4" s="73" t="s">
        <v>228</v>
      </c>
      <c r="C4" s="73" t="s">
        <v>229</v>
      </c>
      <c r="D4" s="74" t="s">
        <v>40</v>
      </c>
      <c r="E4" s="74" t="s">
        <v>40</v>
      </c>
      <c r="F4" s="74" t="s">
        <v>40</v>
      </c>
      <c r="G4" s="74" t="s">
        <v>40</v>
      </c>
      <c r="H4" s="74" t="s">
        <v>41</v>
      </c>
      <c r="I4" s="74"/>
      <c r="J4" s="74"/>
      <c r="K4" s="74"/>
      <c r="L4" s="74"/>
    </row>
    <row r="5" spans="1:33" ht="15" customHeight="1" thickBot="1" x14ac:dyDescent="0.25">
      <c r="A5" s="73" t="s">
        <v>41</v>
      </c>
      <c r="B5" s="73" t="s">
        <v>38</v>
      </c>
      <c r="C5" s="73" t="s">
        <v>39</v>
      </c>
      <c r="D5" s="74" t="s">
        <v>40</v>
      </c>
      <c r="E5" s="74" t="s">
        <v>40</v>
      </c>
      <c r="F5" s="74" t="s">
        <v>40</v>
      </c>
      <c r="G5" s="74" t="s">
        <v>40</v>
      </c>
      <c r="H5" s="74" t="s">
        <v>37</v>
      </c>
      <c r="I5" s="74"/>
      <c r="J5" s="74"/>
      <c r="K5" s="74"/>
      <c r="L5" s="74"/>
    </row>
    <row r="6" spans="1:33" ht="27" customHeight="1" thickBot="1" x14ac:dyDescent="0.25">
      <c r="A6" s="73" t="s">
        <v>48</v>
      </c>
      <c r="B6" s="73" t="s">
        <v>42</v>
      </c>
      <c r="C6" s="73" t="s">
        <v>43</v>
      </c>
      <c r="D6" s="74" t="s">
        <v>44</v>
      </c>
      <c r="E6" s="74" t="s">
        <v>45</v>
      </c>
      <c r="F6" s="74" t="s">
        <v>46</v>
      </c>
      <c r="G6" s="74" t="s">
        <v>47</v>
      </c>
      <c r="H6" s="74" t="s">
        <v>41</v>
      </c>
      <c r="I6" s="74"/>
      <c r="J6" s="74"/>
      <c r="K6" s="74"/>
      <c r="L6" s="74"/>
    </row>
    <row r="7" spans="1:33" ht="15" customHeight="1" thickBot="1" x14ac:dyDescent="0.25">
      <c r="A7" s="73" t="s">
        <v>54</v>
      </c>
      <c r="B7" s="73" t="s">
        <v>49</v>
      </c>
      <c r="C7" s="73" t="s">
        <v>55</v>
      </c>
      <c r="D7" s="74" t="s">
        <v>56</v>
      </c>
      <c r="E7" s="74" t="s">
        <v>57</v>
      </c>
      <c r="F7" s="74" t="s">
        <v>46</v>
      </c>
      <c r="G7" s="74" t="s">
        <v>58</v>
      </c>
      <c r="H7" s="74" t="s">
        <v>116</v>
      </c>
      <c r="I7" s="74"/>
      <c r="J7" s="74"/>
      <c r="K7" s="74"/>
      <c r="L7" s="74"/>
    </row>
    <row r="8" spans="1:33" ht="15" customHeight="1" thickBot="1" x14ac:dyDescent="0.25">
      <c r="A8" s="73" t="s">
        <v>60</v>
      </c>
      <c r="B8" s="73" t="s">
        <v>49</v>
      </c>
      <c r="C8" s="73" t="s">
        <v>61</v>
      </c>
      <c r="D8" s="74" t="s">
        <v>56</v>
      </c>
      <c r="E8" s="74" t="s">
        <v>62</v>
      </c>
      <c r="F8" s="74" t="s">
        <v>46</v>
      </c>
      <c r="G8" s="74" t="s">
        <v>63</v>
      </c>
      <c r="H8" s="74" t="s">
        <v>41</v>
      </c>
      <c r="I8" s="74"/>
      <c r="J8" s="74"/>
      <c r="K8" s="74"/>
      <c r="L8" s="74"/>
    </row>
    <row r="9" spans="1:33" ht="15" customHeight="1" thickBot="1" x14ac:dyDescent="0.25">
      <c r="A9" s="73" t="s">
        <v>64</v>
      </c>
      <c r="B9" s="73" t="s">
        <v>65</v>
      </c>
      <c r="C9" s="73" t="s">
        <v>66</v>
      </c>
      <c r="D9" s="74" t="s">
        <v>67</v>
      </c>
      <c r="E9" s="74" t="s">
        <v>52</v>
      </c>
      <c r="F9" s="74" t="s">
        <v>46</v>
      </c>
      <c r="G9" s="74" t="s">
        <v>68</v>
      </c>
      <c r="H9" s="74" t="s">
        <v>41</v>
      </c>
      <c r="I9" s="74"/>
      <c r="J9" s="74"/>
      <c r="K9" s="74"/>
      <c r="L9" s="74"/>
    </row>
    <row r="10" spans="1:33" ht="15" customHeight="1" thickBot="1" x14ac:dyDescent="0.25">
      <c r="A10" s="73" t="s">
        <v>69</v>
      </c>
      <c r="B10" s="73" t="s">
        <v>70</v>
      </c>
      <c r="C10" s="73" t="s">
        <v>71</v>
      </c>
      <c r="D10" s="74" t="s">
        <v>72</v>
      </c>
      <c r="E10" s="74" t="s">
        <v>40</v>
      </c>
      <c r="F10" s="74" t="s">
        <v>46</v>
      </c>
      <c r="G10" s="74" t="s">
        <v>73</v>
      </c>
      <c r="H10" s="74" t="s">
        <v>48</v>
      </c>
      <c r="I10" s="74"/>
      <c r="J10" s="74"/>
      <c r="K10" s="74"/>
      <c r="L10" s="74"/>
    </row>
    <row r="11" spans="1:33" ht="27" customHeight="1" thickBot="1" x14ac:dyDescent="0.25">
      <c r="A11" s="73" t="s">
        <v>74</v>
      </c>
      <c r="B11" s="73" t="s">
        <v>75</v>
      </c>
      <c r="C11" s="73" t="s">
        <v>76</v>
      </c>
      <c r="D11" s="74" t="s">
        <v>77</v>
      </c>
      <c r="E11" s="74" t="s">
        <v>78</v>
      </c>
      <c r="F11" s="74" t="s">
        <v>46</v>
      </c>
      <c r="G11" s="74" t="s">
        <v>79</v>
      </c>
      <c r="H11" s="74" t="s">
        <v>41</v>
      </c>
      <c r="I11" s="74"/>
      <c r="J11" s="74"/>
      <c r="K11" s="74"/>
      <c r="L11" s="74"/>
    </row>
    <row r="12" spans="1:33" ht="27" customHeight="1" thickBot="1" x14ac:dyDescent="0.25">
      <c r="A12" s="73" t="s">
        <v>80</v>
      </c>
      <c r="B12" s="73" t="s">
        <v>81</v>
      </c>
      <c r="C12" s="73" t="s">
        <v>82</v>
      </c>
      <c r="D12" s="74" t="s">
        <v>72</v>
      </c>
      <c r="E12" s="74" t="s">
        <v>83</v>
      </c>
      <c r="F12" s="74" t="s">
        <v>46</v>
      </c>
      <c r="G12" s="74" t="s">
        <v>84</v>
      </c>
      <c r="H12" s="74" t="s">
        <v>37</v>
      </c>
      <c r="I12" s="74"/>
      <c r="J12" s="74"/>
      <c r="K12" s="74"/>
      <c r="L12" s="74"/>
    </row>
    <row r="13" spans="1:33" ht="27" customHeight="1" thickBot="1" x14ac:dyDescent="0.25">
      <c r="A13" s="73" t="s">
        <v>85</v>
      </c>
      <c r="B13" s="73" t="s">
        <v>230</v>
      </c>
      <c r="C13" s="73" t="s">
        <v>231</v>
      </c>
      <c r="D13" s="74" t="s">
        <v>40</v>
      </c>
      <c r="E13" s="74" t="s">
        <v>40</v>
      </c>
      <c r="F13" s="74" t="s">
        <v>46</v>
      </c>
      <c r="G13" s="74" t="s">
        <v>232</v>
      </c>
      <c r="H13" s="74" t="s">
        <v>41</v>
      </c>
      <c r="I13" s="74"/>
      <c r="J13" s="74"/>
      <c r="K13" s="74"/>
      <c r="L13" s="74"/>
    </row>
    <row r="14" spans="1:33" ht="15" customHeight="1" thickBot="1" x14ac:dyDescent="0.25">
      <c r="A14" s="73" t="s">
        <v>89</v>
      </c>
      <c r="B14" s="73" t="s">
        <v>90</v>
      </c>
      <c r="C14" s="73" t="s">
        <v>91</v>
      </c>
      <c r="D14" s="74" t="s">
        <v>92</v>
      </c>
      <c r="E14" s="74" t="s">
        <v>93</v>
      </c>
      <c r="F14" s="74" t="s">
        <v>46</v>
      </c>
      <c r="G14" s="74" t="s">
        <v>94</v>
      </c>
      <c r="H14" s="74" t="s">
        <v>37</v>
      </c>
      <c r="I14" s="74"/>
      <c r="J14" s="74"/>
      <c r="K14" s="74"/>
      <c r="L14" s="74"/>
    </row>
    <row r="15" spans="1:33" ht="15" customHeight="1" thickBot="1" x14ac:dyDescent="0.25">
      <c r="A15" s="73" t="s">
        <v>95</v>
      </c>
      <c r="B15" s="73" t="s">
        <v>96</v>
      </c>
      <c r="C15" s="73" t="s">
        <v>97</v>
      </c>
      <c r="D15" s="74" t="s">
        <v>98</v>
      </c>
      <c r="E15" s="74" t="s">
        <v>99</v>
      </c>
      <c r="F15" s="74" t="s">
        <v>46</v>
      </c>
      <c r="G15" s="74" t="s">
        <v>100</v>
      </c>
      <c r="H15" s="74" t="s">
        <v>54</v>
      </c>
      <c r="I15" s="74"/>
      <c r="J15" s="74"/>
      <c r="K15" s="74"/>
      <c r="L15" s="74"/>
    </row>
    <row r="16" spans="1:33" ht="15" customHeight="1" thickBot="1" x14ac:dyDescent="0.25">
      <c r="A16" s="73" t="s">
        <v>101</v>
      </c>
      <c r="B16" s="73" t="s">
        <v>102</v>
      </c>
      <c r="C16" s="73" t="s">
        <v>103</v>
      </c>
      <c r="D16" s="74" t="s">
        <v>104</v>
      </c>
      <c r="E16" s="74" t="s">
        <v>52</v>
      </c>
      <c r="F16" s="74" t="s">
        <v>46</v>
      </c>
      <c r="G16" s="74" t="s">
        <v>105</v>
      </c>
      <c r="H16" s="74" t="s">
        <v>41</v>
      </c>
      <c r="I16" s="74"/>
      <c r="J16" s="74"/>
      <c r="K16" s="74"/>
      <c r="L16" s="74"/>
    </row>
    <row r="17" spans="1:12" ht="15" customHeight="1" thickBot="1" x14ac:dyDescent="0.25">
      <c r="A17" s="73" t="s">
        <v>59</v>
      </c>
      <c r="B17" s="73" t="s">
        <v>106</v>
      </c>
      <c r="C17" s="73" t="s">
        <v>107</v>
      </c>
      <c r="D17" s="74" t="s">
        <v>108</v>
      </c>
      <c r="E17" s="74" t="s">
        <v>40</v>
      </c>
      <c r="F17" s="74" t="s">
        <v>46</v>
      </c>
      <c r="G17" s="74" t="s">
        <v>109</v>
      </c>
      <c r="H17" s="74" t="s">
        <v>41</v>
      </c>
      <c r="I17" s="74"/>
      <c r="J17" s="74"/>
      <c r="K17" s="74"/>
      <c r="L17" s="74"/>
    </row>
    <row r="18" spans="1:12" ht="27" customHeight="1" thickBot="1" x14ac:dyDescent="0.25">
      <c r="A18" s="73" t="s">
        <v>110</v>
      </c>
      <c r="B18" s="73" t="s">
        <v>111</v>
      </c>
      <c r="C18" s="73" t="s">
        <v>112</v>
      </c>
      <c r="D18" s="74" t="s">
        <v>113</v>
      </c>
      <c r="E18" s="74" t="s">
        <v>114</v>
      </c>
      <c r="F18" s="74" t="s">
        <v>46</v>
      </c>
      <c r="G18" s="74" t="s">
        <v>115</v>
      </c>
      <c r="H18" s="74" t="s">
        <v>41</v>
      </c>
      <c r="I18" s="74"/>
      <c r="J18" s="74"/>
      <c r="K18" s="74"/>
      <c r="L18" s="74"/>
    </row>
    <row r="19" spans="1:12" ht="27" customHeight="1" thickBot="1" x14ac:dyDescent="0.25">
      <c r="A19" s="73" t="s">
        <v>116</v>
      </c>
      <c r="B19" s="73" t="s">
        <v>111</v>
      </c>
      <c r="C19" s="73" t="s">
        <v>117</v>
      </c>
      <c r="D19" s="74" t="s">
        <v>113</v>
      </c>
      <c r="E19" s="74" t="s">
        <v>118</v>
      </c>
      <c r="F19" s="74" t="s">
        <v>46</v>
      </c>
      <c r="G19" s="74" t="s">
        <v>119</v>
      </c>
      <c r="H19" s="74" t="s">
        <v>41</v>
      </c>
      <c r="I19" s="74"/>
      <c r="J19" s="74"/>
      <c r="K19" s="74"/>
      <c r="L19" s="74"/>
    </row>
    <row r="20" spans="1:12" ht="27" customHeight="1" thickBot="1" x14ac:dyDescent="0.25">
      <c r="A20" s="73" t="s">
        <v>120</v>
      </c>
      <c r="B20" s="73" t="s">
        <v>111</v>
      </c>
      <c r="C20" s="73" t="s">
        <v>121</v>
      </c>
      <c r="D20" s="74" t="s">
        <v>113</v>
      </c>
      <c r="E20" s="74" t="s">
        <v>118</v>
      </c>
      <c r="F20" s="74" t="s">
        <v>46</v>
      </c>
      <c r="G20" s="74" t="s">
        <v>122</v>
      </c>
      <c r="H20" s="74" t="s">
        <v>41</v>
      </c>
      <c r="I20" s="74"/>
      <c r="J20" s="74"/>
      <c r="K20" s="74"/>
      <c r="L20" s="74"/>
    </row>
    <row r="21" spans="1:12" ht="15" customHeight="1" thickBot="1" x14ac:dyDescent="0.25">
      <c r="A21" s="73" t="s">
        <v>123</v>
      </c>
      <c r="B21" s="73" t="s">
        <v>124</v>
      </c>
      <c r="C21" s="73" t="s">
        <v>125</v>
      </c>
      <c r="D21" s="74" t="s">
        <v>126</v>
      </c>
      <c r="E21" s="74" t="s">
        <v>40</v>
      </c>
      <c r="F21" s="74" t="s">
        <v>46</v>
      </c>
      <c r="G21" s="74" t="s">
        <v>127</v>
      </c>
      <c r="H21" s="74" t="s">
        <v>41</v>
      </c>
      <c r="I21" s="74"/>
      <c r="J21" s="74"/>
      <c r="K21" s="74"/>
      <c r="L21" s="74"/>
    </row>
    <row r="22" spans="1:12" ht="27" customHeight="1" thickBot="1" x14ac:dyDescent="0.25">
      <c r="A22" s="73" t="s">
        <v>128</v>
      </c>
      <c r="B22" s="73" t="s">
        <v>146</v>
      </c>
      <c r="C22" s="73" t="s">
        <v>238</v>
      </c>
      <c r="D22" s="74" t="s">
        <v>239</v>
      </c>
      <c r="E22" s="74" t="s">
        <v>240</v>
      </c>
      <c r="F22" s="74" t="s">
        <v>241</v>
      </c>
      <c r="G22" s="74" t="s">
        <v>238</v>
      </c>
      <c r="H22" s="74" t="s">
        <v>37</v>
      </c>
      <c r="I22" s="74"/>
      <c r="J22" s="74"/>
      <c r="K22" s="74"/>
      <c r="L22" s="74"/>
    </row>
    <row r="23" spans="1:12" ht="40.5" customHeight="1" thickBot="1" x14ac:dyDescent="0.25">
      <c r="A23" s="73" t="s">
        <v>134</v>
      </c>
      <c r="B23" s="73" t="s">
        <v>65</v>
      </c>
      <c r="C23" s="73" t="s">
        <v>242</v>
      </c>
      <c r="D23" s="74" t="s">
        <v>243</v>
      </c>
      <c r="E23" s="74" t="s">
        <v>40</v>
      </c>
      <c r="F23" s="74" t="s">
        <v>244</v>
      </c>
      <c r="G23" s="74" t="s">
        <v>245</v>
      </c>
      <c r="H23" s="74" t="s">
        <v>37</v>
      </c>
      <c r="I23" s="74"/>
      <c r="J23" s="74"/>
      <c r="K23" s="74"/>
      <c r="L23" s="74"/>
    </row>
    <row r="24" spans="1:12" ht="15" customHeight="1" thickBot="1" x14ac:dyDescent="0.25">
      <c r="A24" s="73" t="s">
        <v>139</v>
      </c>
      <c r="B24" s="73" t="s">
        <v>129</v>
      </c>
      <c r="C24" s="73" t="s">
        <v>130</v>
      </c>
      <c r="D24" s="74" t="s">
        <v>40</v>
      </c>
      <c r="E24" s="74" t="s">
        <v>131</v>
      </c>
      <c r="F24" s="74" t="s">
        <v>132</v>
      </c>
      <c r="G24" s="74" t="s">
        <v>133</v>
      </c>
      <c r="H24" s="74" t="s">
        <v>37</v>
      </c>
      <c r="I24" s="74"/>
      <c r="J24" s="74"/>
      <c r="K24" s="74"/>
      <c r="L24" s="74"/>
    </row>
    <row r="25" spans="1:12" ht="15" customHeight="1" thickBot="1" x14ac:dyDescent="0.25">
      <c r="A25" s="73" t="s">
        <v>145</v>
      </c>
      <c r="B25" s="73" t="s">
        <v>135</v>
      </c>
      <c r="C25" s="73" t="s">
        <v>136</v>
      </c>
      <c r="D25" s="74" t="s">
        <v>137</v>
      </c>
      <c r="E25" s="74" t="s">
        <v>138</v>
      </c>
      <c r="F25" s="74" t="s">
        <v>132</v>
      </c>
      <c r="G25" s="74" t="s">
        <v>136</v>
      </c>
      <c r="H25" s="74" t="s">
        <v>37</v>
      </c>
      <c r="I25" s="74"/>
      <c r="J25" s="74"/>
      <c r="K25" s="74"/>
      <c r="L25" s="74"/>
    </row>
    <row r="26" spans="1:12" ht="27" customHeight="1" thickBot="1" x14ac:dyDescent="0.25">
      <c r="A26" s="73" t="s">
        <v>149</v>
      </c>
      <c r="B26" s="73" t="s">
        <v>140</v>
      </c>
      <c r="C26" s="73" t="s">
        <v>141</v>
      </c>
      <c r="D26" s="74" t="s">
        <v>142</v>
      </c>
      <c r="E26" s="74" t="s">
        <v>40</v>
      </c>
      <c r="F26" s="74" t="s">
        <v>143</v>
      </c>
      <c r="G26" s="74" t="s">
        <v>144</v>
      </c>
      <c r="H26" s="74" t="s">
        <v>37</v>
      </c>
      <c r="I26" s="74"/>
      <c r="J26" s="74"/>
      <c r="K26" s="74"/>
      <c r="L26" s="74"/>
    </row>
    <row r="27" spans="1:12" ht="15" customHeight="1" thickBot="1" x14ac:dyDescent="0.25">
      <c r="A27" s="73" t="s">
        <v>155</v>
      </c>
      <c r="B27" s="73" t="s">
        <v>146</v>
      </c>
      <c r="C27" s="73" t="s">
        <v>147</v>
      </c>
      <c r="D27" s="74" t="s">
        <v>40</v>
      </c>
      <c r="E27" s="74" t="s">
        <v>40</v>
      </c>
      <c r="F27" s="74" t="s">
        <v>143</v>
      </c>
      <c r="G27" s="74" t="s">
        <v>148</v>
      </c>
      <c r="H27" s="74" t="s">
        <v>41</v>
      </c>
      <c r="I27" s="74"/>
      <c r="J27" s="74"/>
      <c r="K27" s="74"/>
      <c r="L27" s="74"/>
    </row>
    <row r="28" spans="1:12" ht="15" customHeight="1" thickBot="1" x14ac:dyDescent="0.25">
      <c r="A28" s="73" t="s">
        <v>159</v>
      </c>
      <c r="B28" s="73" t="s">
        <v>150</v>
      </c>
      <c r="C28" s="73" t="s">
        <v>151</v>
      </c>
      <c r="D28" s="74" t="s">
        <v>152</v>
      </c>
      <c r="E28" s="74" t="s">
        <v>153</v>
      </c>
      <c r="F28" s="74" t="s">
        <v>143</v>
      </c>
      <c r="G28" s="74" t="s">
        <v>154</v>
      </c>
      <c r="H28" s="74" t="s">
        <v>37</v>
      </c>
      <c r="I28" s="74"/>
      <c r="J28" s="74"/>
      <c r="K28" s="74"/>
      <c r="L28" s="74"/>
    </row>
    <row r="29" spans="1:12" ht="15" customHeight="1" thickBot="1" x14ac:dyDescent="0.25">
      <c r="A29" s="73" t="s">
        <v>165</v>
      </c>
      <c r="B29" s="73" t="s">
        <v>156</v>
      </c>
      <c r="C29" s="73" t="s">
        <v>157</v>
      </c>
      <c r="D29" s="74" t="s">
        <v>40</v>
      </c>
      <c r="E29" s="74" t="s">
        <v>40</v>
      </c>
      <c r="F29" s="74" t="s">
        <v>158</v>
      </c>
      <c r="G29" s="74" t="s">
        <v>40</v>
      </c>
      <c r="H29" s="74" t="s">
        <v>37</v>
      </c>
      <c r="I29" s="74"/>
      <c r="J29" s="74"/>
      <c r="K29" s="74"/>
      <c r="L29" s="74"/>
    </row>
    <row r="30" spans="1:12" ht="15" customHeight="1" thickBot="1" x14ac:dyDescent="0.25">
      <c r="A30" s="73" t="s">
        <v>170</v>
      </c>
      <c r="B30" s="73" t="s">
        <v>160</v>
      </c>
      <c r="C30" s="73" t="s">
        <v>161</v>
      </c>
      <c r="D30" s="74" t="s">
        <v>40</v>
      </c>
      <c r="E30" s="74" t="s">
        <v>40</v>
      </c>
      <c r="F30" s="74" t="s">
        <v>162</v>
      </c>
      <c r="G30" s="74" t="s">
        <v>163</v>
      </c>
      <c r="H30" s="74" t="s">
        <v>246</v>
      </c>
      <c r="I30" s="74"/>
      <c r="J30" s="74"/>
      <c r="K30" s="74"/>
      <c r="L30" s="74"/>
    </row>
    <row r="31" spans="1:12" ht="27" customHeight="1" thickBot="1" x14ac:dyDescent="0.25">
      <c r="A31" s="73" t="s">
        <v>175</v>
      </c>
      <c r="B31" s="73" t="s">
        <v>166</v>
      </c>
      <c r="C31" s="73" t="s">
        <v>167</v>
      </c>
      <c r="D31" s="74" t="s">
        <v>40</v>
      </c>
      <c r="E31" s="74" t="s">
        <v>40</v>
      </c>
      <c r="F31" s="74" t="s">
        <v>162</v>
      </c>
      <c r="G31" s="74" t="s">
        <v>168</v>
      </c>
      <c r="H31" s="74" t="s">
        <v>247</v>
      </c>
      <c r="I31" s="74"/>
      <c r="J31" s="74"/>
      <c r="K31" s="74"/>
      <c r="L31" s="74"/>
    </row>
    <row r="32" spans="1:12" ht="27" customHeight="1" thickBot="1" x14ac:dyDescent="0.25">
      <c r="A32" s="73" t="s">
        <v>179</v>
      </c>
      <c r="B32" s="73" t="s">
        <v>171</v>
      </c>
      <c r="C32" s="73" t="s">
        <v>172</v>
      </c>
      <c r="D32" s="74" t="s">
        <v>40</v>
      </c>
      <c r="E32" s="74" t="s">
        <v>40</v>
      </c>
      <c r="F32" s="74" t="s">
        <v>162</v>
      </c>
      <c r="G32" s="74" t="s">
        <v>173</v>
      </c>
      <c r="H32" s="74" t="s">
        <v>174</v>
      </c>
      <c r="I32" s="74"/>
      <c r="J32" s="74"/>
      <c r="K32" s="74"/>
      <c r="L32" s="74"/>
    </row>
    <row r="33" spans="1:12" ht="15" customHeight="1" thickBot="1" x14ac:dyDescent="0.25">
      <c r="A33" s="73" t="s">
        <v>184</v>
      </c>
      <c r="B33" s="73" t="s">
        <v>176</v>
      </c>
      <c r="C33" s="73" t="s">
        <v>177</v>
      </c>
      <c r="D33" s="74" t="s">
        <v>40</v>
      </c>
      <c r="E33" s="74" t="s">
        <v>40</v>
      </c>
      <c r="F33" s="74" t="s">
        <v>162</v>
      </c>
      <c r="G33" s="74" t="s">
        <v>178</v>
      </c>
      <c r="H33" s="74" t="s">
        <v>134</v>
      </c>
      <c r="I33" s="74"/>
      <c r="J33" s="74"/>
      <c r="K33" s="74"/>
      <c r="L33" s="74"/>
    </row>
    <row r="34" spans="1:12" ht="15" customHeight="1" thickBot="1" x14ac:dyDescent="0.25">
      <c r="A34" s="73" t="s">
        <v>189</v>
      </c>
      <c r="B34" s="73" t="s">
        <v>180</v>
      </c>
      <c r="C34" s="73" t="s">
        <v>181</v>
      </c>
      <c r="D34" s="74" t="s">
        <v>40</v>
      </c>
      <c r="E34" s="74" t="s">
        <v>40</v>
      </c>
      <c r="F34" s="74" t="s">
        <v>162</v>
      </c>
      <c r="G34" s="74" t="s">
        <v>182</v>
      </c>
      <c r="H34" s="74" t="s">
        <v>248</v>
      </c>
      <c r="I34" s="74"/>
      <c r="J34" s="74"/>
      <c r="K34" s="74"/>
      <c r="L34" s="74"/>
    </row>
    <row r="35" spans="1:12" ht="15" customHeight="1" thickBot="1" x14ac:dyDescent="0.25">
      <c r="A35" s="73" t="s">
        <v>193</v>
      </c>
      <c r="B35" s="73" t="s">
        <v>185</v>
      </c>
      <c r="C35" s="73" t="s">
        <v>186</v>
      </c>
      <c r="D35" s="74" t="s">
        <v>40</v>
      </c>
      <c r="E35" s="74" t="s">
        <v>187</v>
      </c>
      <c r="F35" s="74" t="s">
        <v>162</v>
      </c>
      <c r="G35" s="74" t="s">
        <v>188</v>
      </c>
      <c r="H35" s="74" t="s">
        <v>54</v>
      </c>
      <c r="I35" s="74"/>
      <c r="J35" s="74"/>
      <c r="K35" s="74"/>
      <c r="L35" s="74"/>
    </row>
    <row r="36" spans="1:12" ht="15" customHeight="1" thickBot="1" x14ac:dyDescent="0.25">
      <c r="A36" s="73" t="s">
        <v>197</v>
      </c>
      <c r="B36" s="73" t="s">
        <v>190</v>
      </c>
      <c r="C36" s="73" t="s">
        <v>191</v>
      </c>
      <c r="D36" s="74" t="s">
        <v>40</v>
      </c>
      <c r="E36" s="74" t="s">
        <v>40</v>
      </c>
      <c r="F36" s="74" t="s">
        <v>162</v>
      </c>
      <c r="G36" s="74" t="s">
        <v>192</v>
      </c>
      <c r="H36" s="74" t="s">
        <v>145</v>
      </c>
      <c r="I36" s="74"/>
      <c r="J36" s="74"/>
      <c r="K36" s="74"/>
      <c r="L36" s="74"/>
    </row>
    <row r="37" spans="1:12" ht="27" customHeight="1" thickBot="1" x14ac:dyDescent="0.25">
      <c r="A37" s="73" t="s">
        <v>201</v>
      </c>
      <c r="B37" s="73" t="s">
        <v>194</v>
      </c>
      <c r="C37" s="73" t="s">
        <v>195</v>
      </c>
      <c r="D37" s="74" t="s">
        <v>40</v>
      </c>
      <c r="E37" s="74" t="s">
        <v>40</v>
      </c>
      <c r="F37" s="74" t="s">
        <v>162</v>
      </c>
      <c r="G37" s="74" t="s">
        <v>196</v>
      </c>
      <c r="H37" s="74" t="s">
        <v>170</v>
      </c>
      <c r="I37" s="74"/>
      <c r="J37" s="74"/>
      <c r="K37" s="74"/>
      <c r="L37" s="74"/>
    </row>
    <row r="38" spans="1:12" ht="15" customHeight="1" thickBot="1" x14ac:dyDescent="0.25">
      <c r="A38" s="73" t="s">
        <v>205</v>
      </c>
      <c r="B38" s="73" t="s">
        <v>198</v>
      </c>
      <c r="C38" s="73" t="s">
        <v>199</v>
      </c>
      <c r="D38" s="74" t="s">
        <v>40</v>
      </c>
      <c r="E38" s="74" t="s">
        <v>40</v>
      </c>
      <c r="F38" s="74" t="s">
        <v>162</v>
      </c>
      <c r="G38" s="74" t="s">
        <v>200</v>
      </c>
      <c r="H38" s="74" t="s">
        <v>193</v>
      </c>
      <c r="I38" s="74"/>
      <c r="J38" s="74"/>
      <c r="K38" s="74"/>
      <c r="L38" s="74"/>
    </row>
    <row r="39" spans="1:12" ht="15" customHeight="1" thickBot="1" x14ac:dyDescent="0.25">
      <c r="A39" s="73" t="s">
        <v>164</v>
      </c>
      <c r="B39" s="73" t="s">
        <v>202</v>
      </c>
      <c r="C39" s="73" t="s">
        <v>203</v>
      </c>
      <c r="D39" s="74" t="s">
        <v>40</v>
      </c>
      <c r="E39" s="74" t="s">
        <v>40</v>
      </c>
      <c r="F39" s="74" t="s">
        <v>162</v>
      </c>
      <c r="G39" s="74" t="s">
        <v>204</v>
      </c>
      <c r="H39" s="74" t="s">
        <v>41</v>
      </c>
      <c r="I39" s="74"/>
      <c r="J39" s="74"/>
      <c r="K39" s="74"/>
      <c r="L39" s="74"/>
    </row>
    <row r="40" spans="1:12" ht="15" customHeight="1" thickBot="1" x14ac:dyDescent="0.25">
      <c r="A40" s="73" t="s">
        <v>211</v>
      </c>
      <c r="B40" s="73" t="s">
        <v>206</v>
      </c>
      <c r="C40" s="73" t="s">
        <v>207</v>
      </c>
      <c r="D40" s="74" t="s">
        <v>40</v>
      </c>
      <c r="E40" s="74" t="s">
        <v>40</v>
      </c>
      <c r="F40" s="74" t="s">
        <v>162</v>
      </c>
      <c r="G40" s="74" t="s">
        <v>208</v>
      </c>
      <c r="H40" s="74" t="s">
        <v>37</v>
      </c>
      <c r="I40" s="74"/>
      <c r="J40" s="74"/>
      <c r="K40" s="74"/>
      <c r="L40" s="74"/>
    </row>
    <row r="41" spans="1:12" ht="15" customHeight="1" thickBot="1" x14ac:dyDescent="0.25">
      <c r="A41" s="73" t="s">
        <v>216</v>
      </c>
      <c r="B41" s="73" t="s">
        <v>209</v>
      </c>
      <c r="C41" s="73" t="s">
        <v>210</v>
      </c>
      <c r="D41" s="74" t="s">
        <v>40</v>
      </c>
      <c r="E41" s="74" t="s">
        <v>40</v>
      </c>
      <c r="F41" s="74" t="s">
        <v>162</v>
      </c>
      <c r="G41" s="74" t="s">
        <v>192</v>
      </c>
      <c r="H41" s="74" t="s">
        <v>145</v>
      </c>
      <c r="I41" s="74"/>
      <c r="J41" s="74"/>
      <c r="K41" s="74"/>
      <c r="L41" s="74"/>
    </row>
    <row r="42" spans="1:12" ht="27" customHeight="1" thickBot="1" x14ac:dyDescent="0.25">
      <c r="A42" s="73" t="s">
        <v>218</v>
      </c>
      <c r="B42" s="73" t="s">
        <v>212</v>
      </c>
      <c r="C42" s="73" t="s">
        <v>213</v>
      </c>
      <c r="D42" s="74" t="s">
        <v>214</v>
      </c>
      <c r="E42" s="74" t="s">
        <v>40</v>
      </c>
      <c r="F42" s="74" t="s">
        <v>215</v>
      </c>
      <c r="G42" s="74" t="s">
        <v>40</v>
      </c>
      <c r="H42" s="74" t="s">
        <v>37</v>
      </c>
      <c r="I42" s="74"/>
      <c r="J42" s="74"/>
      <c r="K42" s="74"/>
      <c r="L42" s="74"/>
    </row>
    <row r="43" spans="1:12" ht="27" customHeight="1" thickBot="1" x14ac:dyDescent="0.25">
      <c r="A43" s="73" t="s">
        <v>223</v>
      </c>
      <c r="B43" s="73" t="s">
        <v>212</v>
      </c>
      <c r="C43" s="73" t="s">
        <v>217</v>
      </c>
      <c r="D43" s="74" t="s">
        <v>214</v>
      </c>
      <c r="E43" s="74" t="s">
        <v>40</v>
      </c>
      <c r="F43" s="74" t="s">
        <v>215</v>
      </c>
      <c r="G43" s="74" t="s">
        <v>40</v>
      </c>
      <c r="H43" s="74" t="s">
        <v>69</v>
      </c>
      <c r="I43" s="74"/>
      <c r="J43" s="74"/>
      <c r="K43" s="74"/>
      <c r="L43" s="74"/>
    </row>
    <row r="44" spans="1:12" ht="15" customHeight="1" thickBot="1" x14ac:dyDescent="0.25">
      <c r="A44" s="73" t="s">
        <v>237</v>
      </c>
      <c r="B44" s="73" t="s">
        <v>219</v>
      </c>
      <c r="C44" s="73" t="s">
        <v>220</v>
      </c>
      <c r="D44" s="74" t="s">
        <v>221</v>
      </c>
      <c r="E44" s="74" t="s">
        <v>222</v>
      </c>
      <c r="F44" s="74" t="s">
        <v>215</v>
      </c>
      <c r="G44" s="74" t="s">
        <v>213</v>
      </c>
      <c r="H44" s="74" t="s">
        <v>54</v>
      </c>
      <c r="I44" s="74"/>
      <c r="J44" s="74"/>
      <c r="K44" s="74"/>
      <c r="L44" s="74"/>
    </row>
    <row r="45" spans="1:12" ht="15" customHeight="1" x14ac:dyDescent="0.2">
      <c r="A45" s="75" t="s">
        <v>249</v>
      </c>
      <c r="B45" s="75" t="s">
        <v>219</v>
      </c>
      <c r="C45" s="75" t="s">
        <v>224</v>
      </c>
      <c r="D45" s="76" t="s">
        <v>225</v>
      </c>
      <c r="E45" s="76" t="s">
        <v>222</v>
      </c>
      <c r="F45" s="76" t="s">
        <v>215</v>
      </c>
      <c r="G45" s="76" t="s">
        <v>217</v>
      </c>
      <c r="H45" s="76" t="s">
        <v>250</v>
      </c>
      <c r="I45" s="76"/>
      <c r="J45" s="76"/>
      <c r="K45" s="76"/>
      <c r="L45" s="76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/>
  <headerFooter>
    <oddHeader xml:space="preserve">&amp;L&amp;"ABB Logo,Plain"&amp;42ABB&amp;20
&amp;"Arial,Regular"&amp;11ABB Suiza SA&amp;C&amp;14Bill of Material&amp;R&amp;14
</oddHeader>
    <oddFooter>&amp;L&amp;11Prepared / M. G. PRESTA
Approved / F. DEL CARLO&amp;R&amp;11&amp;F
Date: &amp;D &amp; =IF(0 &lt;&gt;""; Rev. ind.: 0; "")
Sheet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G35"/>
  <sheetViews>
    <sheetView zoomScaleNormal="100" zoomScaleSheetLayoutView="100" workbookViewId="0">
      <pane ySplit="3" topLeftCell="A4" activePane="bottomLeft" state="frozen"/>
      <selection pane="bottomLeft"/>
    </sheetView>
  </sheetViews>
  <sheetFormatPr defaultRowHeight="12.75" x14ac:dyDescent="0.2"/>
  <cols>
    <col min="1" max="1" width="5.5703125" style="66" customWidth="1"/>
    <col min="2" max="2" width="27.140625" style="66" customWidth="1"/>
    <col min="3" max="3" width="32.5703125" style="66" customWidth="1"/>
    <col min="4" max="4" width="22.5703125" style="66" customWidth="1"/>
    <col min="5" max="5" width="22.7109375" style="66" customWidth="1"/>
    <col min="6" max="6" width="20.5703125" style="66" customWidth="1"/>
    <col min="7" max="7" width="22.5703125" style="66" customWidth="1"/>
    <col min="8" max="8" width="9.140625" style="66" customWidth="1"/>
    <col min="9" max="9" width="8.5703125" style="66" customWidth="1"/>
    <col min="10" max="10" width="17.5703125" style="66" customWidth="1"/>
    <col min="11" max="11" width="21.7109375" style="66" customWidth="1"/>
    <col min="12" max="12" width="6.5703125" style="66" customWidth="1"/>
    <col min="13" max="13" width="28.5703125" style="66" customWidth="1"/>
  </cols>
  <sheetData>
    <row r="1" spans="1:33" x14ac:dyDescent="0.2">
      <c r="C1" s="54"/>
      <c r="D1" s="66" t="s">
        <v>227</v>
      </c>
      <c r="E1" s="66">
        <v>1</v>
      </c>
    </row>
    <row r="2" spans="1:33" s="19" customFormat="1" ht="25.15" customHeight="1" x14ac:dyDescent="0.25">
      <c r="A2" s="142"/>
      <c r="B2" s="142"/>
      <c r="C2" s="142"/>
      <c r="D2" s="142"/>
      <c r="E2" s="142"/>
      <c r="F2" s="142"/>
      <c r="G2" s="142"/>
      <c r="H2" s="142"/>
      <c r="I2" s="142"/>
      <c r="J2" s="142"/>
      <c r="K2" s="49"/>
      <c r="L2" s="44"/>
      <c r="M2" s="22"/>
      <c r="N2" s="22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</row>
    <row r="3" spans="1:33" ht="36" customHeight="1" thickBot="1" x14ac:dyDescent="0.25">
      <c r="A3" s="65" t="s">
        <v>14</v>
      </c>
      <c r="B3" s="65" t="s">
        <v>0</v>
      </c>
      <c r="C3" s="65" t="s">
        <v>30</v>
      </c>
      <c r="D3" s="65" t="s">
        <v>5</v>
      </c>
      <c r="E3" s="65" t="s">
        <v>26</v>
      </c>
      <c r="F3" s="65" t="s">
        <v>31</v>
      </c>
      <c r="G3" s="65" t="s">
        <v>16</v>
      </c>
      <c r="H3" s="65" t="s">
        <v>35</v>
      </c>
      <c r="I3" s="65" t="s">
        <v>36</v>
      </c>
      <c r="J3" s="65" t="s">
        <v>33</v>
      </c>
      <c r="K3" s="65" t="s">
        <v>34</v>
      </c>
      <c r="L3" s="65" t="s">
        <v>17</v>
      </c>
    </row>
    <row r="4" spans="1:33" ht="15" customHeight="1" thickBot="1" x14ac:dyDescent="0.25">
      <c r="A4" s="73" t="s">
        <v>37</v>
      </c>
      <c r="B4" s="73" t="s">
        <v>228</v>
      </c>
      <c r="C4" s="73" t="s">
        <v>229</v>
      </c>
      <c r="D4" s="74" t="s">
        <v>40</v>
      </c>
      <c r="E4" s="74" t="s">
        <v>40</v>
      </c>
      <c r="F4" s="74" t="s">
        <v>40</v>
      </c>
      <c r="G4" s="74" t="s">
        <v>40</v>
      </c>
      <c r="H4" s="74" t="s">
        <v>41</v>
      </c>
      <c r="I4" s="74"/>
      <c r="J4" s="74"/>
      <c r="K4" s="74"/>
      <c r="L4" s="74"/>
    </row>
    <row r="5" spans="1:33" ht="15" customHeight="1" thickBot="1" x14ac:dyDescent="0.25">
      <c r="A5" s="73" t="s">
        <v>41</v>
      </c>
      <c r="B5" s="73" t="s">
        <v>38</v>
      </c>
      <c r="C5" s="73" t="s">
        <v>39</v>
      </c>
      <c r="D5" s="74" t="s">
        <v>40</v>
      </c>
      <c r="E5" s="74" t="s">
        <v>40</v>
      </c>
      <c r="F5" s="74" t="s">
        <v>40</v>
      </c>
      <c r="G5" s="74" t="s">
        <v>40</v>
      </c>
      <c r="H5" s="74" t="s">
        <v>37</v>
      </c>
      <c r="I5" s="74"/>
      <c r="J5" s="74"/>
      <c r="K5" s="74"/>
      <c r="L5" s="74"/>
    </row>
    <row r="6" spans="1:33" ht="27" customHeight="1" thickBot="1" x14ac:dyDescent="0.25">
      <c r="A6" s="73" t="s">
        <v>48</v>
      </c>
      <c r="B6" s="73" t="s">
        <v>42</v>
      </c>
      <c r="C6" s="73" t="s">
        <v>43</v>
      </c>
      <c r="D6" s="74" t="s">
        <v>44</v>
      </c>
      <c r="E6" s="74" t="s">
        <v>45</v>
      </c>
      <c r="F6" s="74" t="s">
        <v>46</v>
      </c>
      <c r="G6" s="74" t="s">
        <v>47</v>
      </c>
      <c r="H6" s="74" t="s">
        <v>41</v>
      </c>
      <c r="I6" s="74"/>
      <c r="J6" s="74"/>
      <c r="K6" s="74"/>
      <c r="L6" s="74"/>
    </row>
    <row r="7" spans="1:33" ht="15" customHeight="1" thickBot="1" x14ac:dyDescent="0.25">
      <c r="A7" s="73" t="s">
        <v>54</v>
      </c>
      <c r="B7" s="73" t="s">
        <v>49</v>
      </c>
      <c r="C7" s="73" t="s">
        <v>50</v>
      </c>
      <c r="D7" s="74" t="s">
        <v>51</v>
      </c>
      <c r="E7" s="74" t="s">
        <v>52</v>
      </c>
      <c r="F7" s="74" t="s">
        <v>46</v>
      </c>
      <c r="G7" s="74" t="s">
        <v>53</v>
      </c>
      <c r="H7" s="74" t="s">
        <v>69</v>
      </c>
      <c r="I7" s="74"/>
      <c r="J7" s="74"/>
      <c r="K7" s="74"/>
      <c r="L7" s="74"/>
    </row>
    <row r="8" spans="1:33" ht="15" customHeight="1" thickBot="1" x14ac:dyDescent="0.25">
      <c r="A8" s="73" t="s">
        <v>60</v>
      </c>
      <c r="B8" s="73" t="s">
        <v>49</v>
      </c>
      <c r="C8" s="73" t="s">
        <v>55</v>
      </c>
      <c r="D8" s="74" t="s">
        <v>56</v>
      </c>
      <c r="E8" s="74" t="s">
        <v>57</v>
      </c>
      <c r="F8" s="74" t="s">
        <v>46</v>
      </c>
      <c r="G8" s="74" t="s">
        <v>58</v>
      </c>
      <c r="H8" s="74" t="s">
        <v>69</v>
      </c>
      <c r="I8" s="74"/>
      <c r="J8" s="74"/>
      <c r="K8" s="74"/>
      <c r="L8" s="74"/>
    </row>
    <row r="9" spans="1:33" ht="15" customHeight="1" thickBot="1" x14ac:dyDescent="0.25">
      <c r="A9" s="73" t="s">
        <v>64</v>
      </c>
      <c r="B9" s="73" t="s">
        <v>65</v>
      </c>
      <c r="C9" s="73" t="s">
        <v>66</v>
      </c>
      <c r="D9" s="74" t="s">
        <v>251</v>
      </c>
      <c r="E9" s="74" t="s">
        <v>62</v>
      </c>
      <c r="F9" s="74" t="s">
        <v>46</v>
      </c>
      <c r="G9" s="74" t="s">
        <v>252</v>
      </c>
      <c r="H9" s="74" t="s">
        <v>41</v>
      </c>
      <c r="I9" s="74"/>
      <c r="J9" s="74"/>
      <c r="K9" s="74"/>
      <c r="L9" s="74"/>
    </row>
    <row r="10" spans="1:33" ht="15" customHeight="1" thickBot="1" x14ac:dyDescent="0.25">
      <c r="A10" s="73" t="s">
        <v>69</v>
      </c>
      <c r="B10" s="73" t="s">
        <v>253</v>
      </c>
      <c r="C10" s="73" t="s">
        <v>254</v>
      </c>
      <c r="D10" s="74" t="s">
        <v>255</v>
      </c>
      <c r="E10" s="74" t="s">
        <v>256</v>
      </c>
      <c r="F10" s="74" t="s">
        <v>46</v>
      </c>
      <c r="G10" s="74" t="s">
        <v>257</v>
      </c>
      <c r="H10" s="74" t="s">
        <v>69</v>
      </c>
      <c r="I10" s="74"/>
      <c r="J10" s="74"/>
      <c r="K10" s="74"/>
      <c r="L10" s="74"/>
    </row>
    <row r="11" spans="1:33" ht="27" customHeight="1" thickBot="1" x14ac:dyDescent="0.25">
      <c r="A11" s="73" t="s">
        <v>74</v>
      </c>
      <c r="B11" s="73" t="s">
        <v>75</v>
      </c>
      <c r="C11" s="73" t="s">
        <v>76</v>
      </c>
      <c r="D11" s="74" t="s">
        <v>77</v>
      </c>
      <c r="E11" s="74" t="s">
        <v>78</v>
      </c>
      <c r="F11" s="74" t="s">
        <v>46</v>
      </c>
      <c r="G11" s="74" t="s">
        <v>79</v>
      </c>
      <c r="H11" s="74" t="s">
        <v>41</v>
      </c>
      <c r="I11" s="74"/>
      <c r="J11" s="74"/>
      <c r="K11" s="74"/>
      <c r="L11" s="74"/>
    </row>
    <row r="12" spans="1:33" ht="27" customHeight="1" thickBot="1" x14ac:dyDescent="0.25">
      <c r="A12" s="73" t="s">
        <v>80</v>
      </c>
      <c r="B12" s="73" t="s">
        <v>81</v>
      </c>
      <c r="C12" s="73" t="s">
        <v>82</v>
      </c>
      <c r="D12" s="74" t="s">
        <v>72</v>
      </c>
      <c r="E12" s="74" t="s">
        <v>83</v>
      </c>
      <c r="F12" s="74" t="s">
        <v>46</v>
      </c>
      <c r="G12" s="74" t="s">
        <v>84</v>
      </c>
      <c r="H12" s="74" t="s">
        <v>37</v>
      </c>
      <c r="I12" s="74"/>
      <c r="J12" s="74"/>
      <c r="K12" s="74"/>
      <c r="L12" s="74"/>
    </row>
    <row r="13" spans="1:33" ht="27" customHeight="1" thickBot="1" x14ac:dyDescent="0.25">
      <c r="A13" s="73" t="s">
        <v>85</v>
      </c>
      <c r="B13" s="73" t="s">
        <v>258</v>
      </c>
      <c r="C13" s="73" t="s">
        <v>259</v>
      </c>
      <c r="D13" s="74" t="s">
        <v>40</v>
      </c>
      <c r="E13" s="74" t="s">
        <v>40</v>
      </c>
      <c r="F13" s="74" t="s">
        <v>46</v>
      </c>
      <c r="G13" s="74" t="s">
        <v>260</v>
      </c>
      <c r="H13" s="74" t="s">
        <v>37</v>
      </c>
      <c r="I13" s="74"/>
      <c r="J13" s="74"/>
      <c r="K13" s="74"/>
      <c r="L13" s="74"/>
    </row>
    <row r="14" spans="1:33" ht="15" customHeight="1" thickBot="1" x14ac:dyDescent="0.25">
      <c r="A14" s="73" t="s">
        <v>89</v>
      </c>
      <c r="B14" s="73" t="s">
        <v>90</v>
      </c>
      <c r="C14" s="73" t="s">
        <v>91</v>
      </c>
      <c r="D14" s="74" t="s">
        <v>92</v>
      </c>
      <c r="E14" s="74" t="s">
        <v>93</v>
      </c>
      <c r="F14" s="74" t="s">
        <v>46</v>
      </c>
      <c r="G14" s="74" t="s">
        <v>94</v>
      </c>
      <c r="H14" s="74" t="s">
        <v>37</v>
      </c>
      <c r="I14" s="74"/>
      <c r="J14" s="74"/>
      <c r="K14" s="74"/>
      <c r="L14" s="74"/>
    </row>
    <row r="15" spans="1:33" ht="15" customHeight="1" thickBot="1" x14ac:dyDescent="0.25">
      <c r="A15" s="73" t="s">
        <v>95</v>
      </c>
      <c r="B15" s="73" t="s">
        <v>96</v>
      </c>
      <c r="C15" s="73" t="s">
        <v>97</v>
      </c>
      <c r="D15" s="74" t="s">
        <v>98</v>
      </c>
      <c r="E15" s="74" t="s">
        <v>99</v>
      </c>
      <c r="F15" s="74" t="s">
        <v>46</v>
      </c>
      <c r="G15" s="74" t="s">
        <v>100</v>
      </c>
      <c r="H15" s="74" t="s">
        <v>48</v>
      </c>
      <c r="I15" s="74"/>
      <c r="J15" s="74"/>
      <c r="K15" s="74"/>
      <c r="L15" s="74"/>
    </row>
    <row r="16" spans="1:33" ht="15" customHeight="1" thickBot="1" x14ac:dyDescent="0.25">
      <c r="A16" s="73" t="s">
        <v>101</v>
      </c>
      <c r="B16" s="73" t="s">
        <v>106</v>
      </c>
      <c r="C16" s="73" t="s">
        <v>107</v>
      </c>
      <c r="D16" s="74" t="s">
        <v>108</v>
      </c>
      <c r="E16" s="74" t="s">
        <v>40</v>
      </c>
      <c r="F16" s="74" t="s">
        <v>46</v>
      </c>
      <c r="G16" s="74" t="s">
        <v>109</v>
      </c>
      <c r="H16" s="74" t="s">
        <v>37</v>
      </c>
      <c r="I16" s="74"/>
      <c r="J16" s="74"/>
      <c r="K16" s="74"/>
      <c r="L16" s="74"/>
    </row>
    <row r="17" spans="1:12" ht="27" customHeight="1" thickBot="1" x14ac:dyDescent="0.25">
      <c r="A17" s="73" t="s">
        <v>59</v>
      </c>
      <c r="B17" s="73" t="s">
        <v>111</v>
      </c>
      <c r="C17" s="73" t="s">
        <v>112</v>
      </c>
      <c r="D17" s="74" t="s">
        <v>113</v>
      </c>
      <c r="E17" s="74" t="s">
        <v>114</v>
      </c>
      <c r="F17" s="74" t="s">
        <v>46</v>
      </c>
      <c r="G17" s="74" t="s">
        <v>115</v>
      </c>
      <c r="H17" s="74" t="s">
        <v>41</v>
      </c>
      <c r="I17" s="74"/>
      <c r="J17" s="74"/>
      <c r="K17" s="74"/>
      <c r="L17" s="74"/>
    </row>
    <row r="18" spans="1:12" ht="27" customHeight="1" thickBot="1" x14ac:dyDescent="0.25">
      <c r="A18" s="73" t="s">
        <v>110</v>
      </c>
      <c r="B18" s="73" t="s">
        <v>111</v>
      </c>
      <c r="C18" s="73" t="s">
        <v>117</v>
      </c>
      <c r="D18" s="74" t="s">
        <v>113</v>
      </c>
      <c r="E18" s="74" t="s">
        <v>118</v>
      </c>
      <c r="F18" s="74" t="s">
        <v>46</v>
      </c>
      <c r="G18" s="74" t="s">
        <v>119</v>
      </c>
      <c r="H18" s="74" t="s">
        <v>41</v>
      </c>
      <c r="I18" s="74"/>
      <c r="J18" s="74"/>
      <c r="K18" s="74"/>
      <c r="L18" s="74"/>
    </row>
    <row r="19" spans="1:12" ht="15" customHeight="1" thickBot="1" x14ac:dyDescent="0.25">
      <c r="A19" s="73" t="s">
        <v>116</v>
      </c>
      <c r="B19" s="73" t="s">
        <v>124</v>
      </c>
      <c r="C19" s="73" t="s">
        <v>261</v>
      </c>
      <c r="D19" s="74" t="s">
        <v>126</v>
      </c>
      <c r="E19" s="74" t="s">
        <v>40</v>
      </c>
      <c r="F19" s="74" t="s">
        <v>46</v>
      </c>
      <c r="G19" s="74" t="s">
        <v>262</v>
      </c>
      <c r="H19" s="74" t="s">
        <v>41</v>
      </c>
      <c r="I19" s="74"/>
      <c r="J19" s="74"/>
      <c r="K19" s="74"/>
      <c r="L19" s="74"/>
    </row>
    <row r="20" spans="1:12" ht="15" customHeight="1" thickBot="1" x14ac:dyDescent="0.25">
      <c r="A20" s="73" t="s">
        <v>120</v>
      </c>
      <c r="B20" s="73" t="s">
        <v>129</v>
      </c>
      <c r="C20" s="73" t="s">
        <v>130</v>
      </c>
      <c r="D20" s="74" t="s">
        <v>40</v>
      </c>
      <c r="E20" s="74" t="s">
        <v>131</v>
      </c>
      <c r="F20" s="74" t="s">
        <v>132</v>
      </c>
      <c r="G20" s="74" t="s">
        <v>133</v>
      </c>
      <c r="H20" s="74" t="s">
        <v>37</v>
      </c>
      <c r="I20" s="74"/>
      <c r="J20" s="74"/>
      <c r="K20" s="74"/>
      <c r="L20" s="74"/>
    </row>
    <row r="21" spans="1:12" ht="15" customHeight="1" thickBot="1" x14ac:dyDescent="0.25">
      <c r="A21" s="73" t="s">
        <v>123</v>
      </c>
      <c r="B21" s="73" t="s">
        <v>135</v>
      </c>
      <c r="C21" s="73" t="s">
        <v>136</v>
      </c>
      <c r="D21" s="74" t="s">
        <v>137</v>
      </c>
      <c r="E21" s="74" t="s">
        <v>138</v>
      </c>
      <c r="F21" s="74" t="s">
        <v>132</v>
      </c>
      <c r="G21" s="74" t="s">
        <v>136</v>
      </c>
      <c r="H21" s="74" t="s">
        <v>37</v>
      </c>
      <c r="I21" s="74"/>
      <c r="J21" s="74"/>
      <c r="K21" s="74"/>
      <c r="L21" s="74"/>
    </row>
    <row r="22" spans="1:12" ht="27" customHeight="1" thickBot="1" x14ac:dyDescent="0.25">
      <c r="A22" s="73" t="s">
        <v>128</v>
      </c>
      <c r="B22" s="73" t="s">
        <v>140</v>
      </c>
      <c r="C22" s="73" t="s">
        <v>141</v>
      </c>
      <c r="D22" s="74" t="s">
        <v>142</v>
      </c>
      <c r="E22" s="74" t="s">
        <v>40</v>
      </c>
      <c r="F22" s="74" t="s">
        <v>143</v>
      </c>
      <c r="G22" s="74" t="s">
        <v>144</v>
      </c>
      <c r="H22" s="74" t="s">
        <v>37</v>
      </c>
      <c r="I22" s="74"/>
      <c r="J22" s="74"/>
      <c r="K22" s="74"/>
      <c r="L22" s="74"/>
    </row>
    <row r="23" spans="1:12" ht="15" customHeight="1" thickBot="1" x14ac:dyDescent="0.25">
      <c r="A23" s="73" t="s">
        <v>134</v>
      </c>
      <c r="B23" s="73" t="s">
        <v>150</v>
      </c>
      <c r="C23" s="73" t="s">
        <v>151</v>
      </c>
      <c r="D23" s="74" t="s">
        <v>152</v>
      </c>
      <c r="E23" s="74" t="s">
        <v>153</v>
      </c>
      <c r="F23" s="74" t="s">
        <v>143</v>
      </c>
      <c r="G23" s="74" t="s">
        <v>154</v>
      </c>
      <c r="H23" s="74" t="s">
        <v>37</v>
      </c>
      <c r="I23" s="74"/>
      <c r="J23" s="74"/>
      <c r="K23" s="74"/>
      <c r="L23" s="74"/>
    </row>
    <row r="24" spans="1:12" ht="15" customHeight="1" thickBot="1" x14ac:dyDescent="0.25">
      <c r="A24" s="73" t="s">
        <v>139</v>
      </c>
      <c r="B24" s="73" t="s">
        <v>156</v>
      </c>
      <c r="C24" s="73" t="s">
        <v>157</v>
      </c>
      <c r="D24" s="74" t="s">
        <v>40</v>
      </c>
      <c r="E24" s="74" t="s">
        <v>40</v>
      </c>
      <c r="F24" s="74" t="s">
        <v>158</v>
      </c>
      <c r="G24" s="74" t="s">
        <v>40</v>
      </c>
      <c r="H24" s="74" t="s">
        <v>37</v>
      </c>
      <c r="I24" s="74"/>
      <c r="J24" s="74"/>
      <c r="K24" s="74"/>
      <c r="L24" s="74"/>
    </row>
    <row r="25" spans="1:12" ht="27" customHeight="1" thickBot="1" x14ac:dyDescent="0.25">
      <c r="A25" s="73" t="s">
        <v>145</v>
      </c>
      <c r="B25" s="73" t="s">
        <v>166</v>
      </c>
      <c r="C25" s="73" t="s">
        <v>167</v>
      </c>
      <c r="D25" s="74" t="s">
        <v>40</v>
      </c>
      <c r="E25" s="74" t="s">
        <v>40</v>
      </c>
      <c r="F25" s="74" t="s">
        <v>162</v>
      </c>
      <c r="G25" s="74" t="s">
        <v>168</v>
      </c>
      <c r="H25" s="74" t="s">
        <v>263</v>
      </c>
      <c r="I25" s="74"/>
      <c r="J25" s="74"/>
      <c r="K25" s="74"/>
      <c r="L25" s="74"/>
    </row>
    <row r="26" spans="1:12" ht="27" customHeight="1" thickBot="1" x14ac:dyDescent="0.25">
      <c r="A26" s="73" t="s">
        <v>149</v>
      </c>
      <c r="B26" s="73" t="s">
        <v>171</v>
      </c>
      <c r="C26" s="73" t="s">
        <v>172</v>
      </c>
      <c r="D26" s="74" t="s">
        <v>40</v>
      </c>
      <c r="E26" s="74" t="s">
        <v>40</v>
      </c>
      <c r="F26" s="74" t="s">
        <v>162</v>
      </c>
      <c r="G26" s="74" t="s">
        <v>173</v>
      </c>
      <c r="H26" s="74" t="s">
        <v>264</v>
      </c>
      <c r="I26" s="74"/>
      <c r="J26" s="74"/>
      <c r="K26" s="74"/>
      <c r="L26" s="74"/>
    </row>
    <row r="27" spans="1:12" ht="15" customHeight="1" thickBot="1" x14ac:dyDescent="0.25">
      <c r="A27" s="73" t="s">
        <v>155</v>
      </c>
      <c r="B27" s="73" t="s">
        <v>176</v>
      </c>
      <c r="C27" s="73" t="s">
        <v>177</v>
      </c>
      <c r="D27" s="74" t="s">
        <v>40</v>
      </c>
      <c r="E27" s="74" t="s">
        <v>40</v>
      </c>
      <c r="F27" s="74" t="s">
        <v>162</v>
      </c>
      <c r="G27" s="74" t="s">
        <v>178</v>
      </c>
      <c r="H27" s="74" t="s">
        <v>223</v>
      </c>
      <c r="I27" s="74"/>
      <c r="J27" s="74"/>
      <c r="K27" s="74"/>
      <c r="L27" s="74"/>
    </row>
    <row r="28" spans="1:12" ht="15" customHeight="1" thickBot="1" x14ac:dyDescent="0.25">
      <c r="A28" s="73" t="s">
        <v>159</v>
      </c>
      <c r="B28" s="73" t="s">
        <v>180</v>
      </c>
      <c r="C28" s="73" t="s">
        <v>181</v>
      </c>
      <c r="D28" s="74" t="s">
        <v>40</v>
      </c>
      <c r="E28" s="74" t="s">
        <v>40</v>
      </c>
      <c r="F28" s="74" t="s">
        <v>162</v>
      </c>
      <c r="G28" s="74" t="s">
        <v>182</v>
      </c>
      <c r="H28" s="74" t="s">
        <v>265</v>
      </c>
      <c r="I28" s="74"/>
      <c r="J28" s="74"/>
      <c r="K28" s="74"/>
      <c r="L28" s="74"/>
    </row>
    <row r="29" spans="1:12" ht="15" customHeight="1" thickBot="1" x14ac:dyDescent="0.25">
      <c r="A29" s="73" t="s">
        <v>165</v>
      </c>
      <c r="B29" s="73" t="s">
        <v>185</v>
      </c>
      <c r="C29" s="73" t="s">
        <v>186</v>
      </c>
      <c r="D29" s="74" t="s">
        <v>40</v>
      </c>
      <c r="E29" s="74" t="s">
        <v>187</v>
      </c>
      <c r="F29" s="74" t="s">
        <v>162</v>
      </c>
      <c r="G29" s="74" t="s">
        <v>188</v>
      </c>
      <c r="H29" s="74" t="s">
        <v>74</v>
      </c>
      <c r="I29" s="74"/>
      <c r="J29" s="74"/>
      <c r="K29" s="74"/>
      <c r="L29" s="74"/>
    </row>
    <row r="30" spans="1:12" ht="15" customHeight="1" thickBot="1" x14ac:dyDescent="0.25">
      <c r="A30" s="73" t="s">
        <v>170</v>
      </c>
      <c r="B30" s="73" t="s">
        <v>190</v>
      </c>
      <c r="C30" s="73" t="s">
        <v>191</v>
      </c>
      <c r="D30" s="74" t="s">
        <v>40</v>
      </c>
      <c r="E30" s="74" t="s">
        <v>40</v>
      </c>
      <c r="F30" s="74" t="s">
        <v>162</v>
      </c>
      <c r="G30" s="74" t="s">
        <v>192</v>
      </c>
      <c r="H30" s="74" t="s">
        <v>134</v>
      </c>
      <c r="I30" s="74"/>
      <c r="J30" s="74"/>
      <c r="K30" s="74"/>
      <c r="L30" s="74"/>
    </row>
    <row r="31" spans="1:12" ht="27" customHeight="1" thickBot="1" x14ac:dyDescent="0.25">
      <c r="A31" s="73" t="s">
        <v>175</v>
      </c>
      <c r="B31" s="73" t="s">
        <v>194</v>
      </c>
      <c r="C31" s="73" t="s">
        <v>195</v>
      </c>
      <c r="D31" s="74" t="s">
        <v>40</v>
      </c>
      <c r="E31" s="74" t="s">
        <v>40</v>
      </c>
      <c r="F31" s="74" t="s">
        <v>162</v>
      </c>
      <c r="G31" s="74" t="s">
        <v>196</v>
      </c>
      <c r="H31" s="74" t="s">
        <v>266</v>
      </c>
      <c r="I31" s="74"/>
      <c r="J31" s="74"/>
      <c r="K31" s="74"/>
      <c r="L31" s="74"/>
    </row>
    <row r="32" spans="1:12" ht="15" customHeight="1" thickBot="1" x14ac:dyDescent="0.25">
      <c r="A32" s="73" t="s">
        <v>179</v>
      </c>
      <c r="B32" s="73" t="s">
        <v>198</v>
      </c>
      <c r="C32" s="73" t="s">
        <v>199</v>
      </c>
      <c r="D32" s="74" t="s">
        <v>40</v>
      </c>
      <c r="E32" s="74" t="s">
        <v>40</v>
      </c>
      <c r="F32" s="74" t="s">
        <v>162</v>
      </c>
      <c r="G32" s="74" t="s">
        <v>200</v>
      </c>
      <c r="H32" s="74" t="s">
        <v>193</v>
      </c>
      <c r="I32" s="74"/>
      <c r="J32" s="74"/>
      <c r="K32" s="74"/>
      <c r="L32" s="74"/>
    </row>
    <row r="33" spans="1:12" ht="15" customHeight="1" thickBot="1" x14ac:dyDescent="0.25">
      <c r="A33" s="73" t="s">
        <v>184</v>
      </c>
      <c r="B33" s="73" t="s">
        <v>202</v>
      </c>
      <c r="C33" s="73" t="s">
        <v>203</v>
      </c>
      <c r="D33" s="74" t="s">
        <v>40</v>
      </c>
      <c r="E33" s="74" t="s">
        <v>40</v>
      </c>
      <c r="F33" s="74" t="s">
        <v>162</v>
      </c>
      <c r="G33" s="74" t="s">
        <v>204</v>
      </c>
      <c r="H33" s="74" t="s">
        <v>41</v>
      </c>
      <c r="I33" s="74"/>
      <c r="J33" s="74"/>
      <c r="K33" s="74"/>
      <c r="L33" s="74"/>
    </row>
    <row r="34" spans="1:12" ht="15" customHeight="1" thickBot="1" x14ac:dyDescent="0.25">
      <c r="A34" s="73" t="s">
        <v>189</v>
      </c>
      <c r="B34" s="73" t="s">
        <v>206</v>
      </c>
      <c r="C34" s="73" t="s">
        <v>207</v>
      </c>
      <c r="D34" s="74" t="s">
        <v>40</v>
      </c>
      <c r="E34" s="74" t="s">
        <v>40</v>
      </c>
      <c r="F34" s="74" t="s">
        <v>162</v>
      </c>
      <c r="G34" s="74" t="s">
        <v>208</v>
      </c>
      <c r="H34" s="74" t="s">
        <v>37</v>
      </c>
      <c r="I34" s="74"/>
      <c r="J34" s="74"/>
      <c r="K34" s="74"/>
      <c r="L34" s="74"/>
    </row>
    <row r="35" spans="1:12" ht="15" customHeight="1" x14ac:dyDescent="0.2">
      <c r="A35" s="75" t="s">
        <v>193</v>
      </c>
      <c r="B35" s="75" t="s">
        <v>209</v>
      </c>
      <c r="C35" s="75" t="s">
        <v>210</v>
      </c>
      <c r="D35" s="76" t="s">
        <v>40</v>
      </c>
      <c r="E35" s="76" t="s">
        <v>40</v>
      </c>
      <c r="F35" s="76" t="s">
        <v>162</v>
      </c>
      <c r="G35" s="76" t="s">
        <v>192</v>
      </c>
      <c r="H35" s="76" t="s">
        <v>134</v>
      </c>
      <c r="I35" s="76"/>
      <c r="J35" s="76"/>
      <c r="K35" s="76"/>
      <c r="L35" s="76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/>
  <headerFooter>
    <oddHeader xml:space="preserve">&amp;L&amp;"ABB Logo,Plain"&amp;42ABB&amp;20
&amp;"Arial,Regular"&amp;11ABB Suiza SA&amp;C&amp;14Bill of Material&amp;R&amp;14
</oddHeader>
    <oddFooter>&amp;L&amp;11Prepared / M. G. PRESTA
Approved / F. DEL CARLO&amp;R&amp;11&amp;F
Date: &amp;D &amp; =IF(0 &lt;&gt;""; Rev. ind.: 0; "")
Sheet &amp;P of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G42"/>
  <sheetViews>
    <sheetView zoomScaleNormal="100" zoomScaleSheetLayoutView="100" workbookViewId="0">
      <pane ySplit="3" topLeftCell="A4" activePane="bottomLeft" state="frozen"/>
      <selection pane="bottomLeft"/>
    </sheetView>
  </sheetViews>
  <sheetFormatPr defaultRowHeight="12.75" x14ac:dyDescent="0.2"/>
  <cols>
    <col min="1" max="1" width="5.5703125" style="66" customWidth="1"/>
    <col min="2" max="2" width="27.140625" style="66" customWidth="1"/>
    <col min="3" max="3" width="32.5703125" style="66" customWidth="1"/>
    <col min="4" max="4" width="22.5703125" style="66" customWidth="1"/>
    <col min="5" max="5" width="22.7109375" style="66" customWidth="1"/>
    <col min="6" max="6" width="20.5703125" style="66" customWidth="1"/>
    <col min="7" max="7" width="22.5703125" style="66" customWidth="1"/>
    <col min="8" max="8" width="9.140625" style="66" customWidth="1"/>
    <col min="9" max="9" width="8.5703125" style="66" customWidth="1"/>
    <col min="10" max="10" width="17.5703125" style="66" customWidth="1"/>
    <col min="11" max="11" width="21.7109375" style="66" customWidth="1"/>
    <col min="12" max="12" width="6.5703125" style="66" customWidth="1"/>
    <col min="13" max="13" width="28.5703125" style="66" customWidth="1"/>
  </cols>
  <sheetData>
    <row r="1" spans="1:33" x14ac:dyDescent="0.2">
      <c r="C1" s="54"/>
      <c r="D1" s="66" t="s">
        <v>227</v>
      </c>
      <c r="E1" s="66">
        <v>1</v>
      </c>
    </row>
    <row r="2" spans="1:33" s="19" customFormat="1" ht="25.15" customHeight="1" x14ac:dyDescent="0.25">
      <c r="A2" s="142"/>
      <c r="B2" s="142"/>
      <c r="C2" s="142"/>
      <c r="D2" s="142"/>
      <c r="E2" s="142"/>
      <c r="F2" s="142"/>
      <c r="G2" s="142"/>
      <c r="H2" s="142"/>
      <c r="I2" s="142"/>
      <c r="J2" s="142"/>
      <c r="K2" s="49"/>
      <c r="L2" s="44"/>
      <c r="M2" s="22"/>
      <c r="N2" s="22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</row>
    <row r="3" spans="1:33" ht="36" customHeight="1" thickBot="1" x14ac:dyDescent="0.25">
      <c r="A3" s="65" t="s">
        <v>14</v>
      </c>
      <c r="B3" s="65" t="s">
        <v>0</v>
      </c>
      <c r="C3" s="65" t="s">
        <v>30</v>
      </c>
      <c r="D3" s="65" t="s">
        <v>5</v>
      </c>
      <c r="E3" s="65" t="s">
        <v>26</v>
      </c>
      <c r="F3" s="65" t="s">
        <v>31</v>
      </c>
      <c r="G3" s="65" t="s">
        <v>16</v>
      </c>
      <c r="H3" s="65" t="s">
        <v>35</v>
      </c>
      <c r="I3" s="65" t="s">
        <v>36</v>
      </c>
      <c r="J3" s="65" t="s">
        <v>33</v>
      </c>
      <c r="K3" s="65" t="s">
        <v>34</v>
      </c>
      <c r="L3" s="65" t="s">
        <v>17</v>
      </c>
    </row>
    <row r="4" spans="1:33" ht="15" customHeight="1" thickBot="1" x14ac:dyDescent="0.25">
      <c r="A4" s="73" t="s">
        <v>37</v>
      </c>
      <c r="B4" s="73" t="s">
        <v>38</v>
      </c>
      <c r="C4" s="73" t="s">
        <v>39</v>
      </c>
      <c r="D4" s="74" t="s">
        <v>40</v>
      </c>
      <c r="E4" s="74" t="s">
        <v>40</v>
      </c>
      <c r="F4" s="74" t="s">
        <v>40</v>
      </c>
      <c r="G4" s="74" t="s">
        <v>40</v>
      </c>
      <c r="H4" s="74" t="s">
        <v>41</v>
      </c>
      <c r="I4" s="74"/>
      <c r="J4" s="74"/>
      <c r="K4" s="74"/>
      <c r="L4" s="74"/>
    </row>
    <row r="5" spans="1:33" ht="15" customHeight="1" thickBot="1" x14ac:dyDescent="0.25">
      <c r="A5" s="73" t="s">
        <v>41</v>
      </c>
      <c r="B5" s="73" t="s">
        <v>267</v>
      </c>
      <c r="C5" s="73" t="s">
        <v>268</v>
      </c>
      <c r="D5" s="74" t="s">
        <v>269</v>
      </c>
      <c r="E5" s="74" t="s">
        <v>40</v>
      </c>
      <c r="F5" s="74" t="s">
        <v>40</v>
      </c>
      <c r="G5" s="74" t="s">
        <v>40</v>
      </c>
      <c r="H5" s="74" t="s">
        <v>37</v>
      </c>
      <c r="I5" s="74"/>
      <c r="J5" s="74"/>
      <c r="K5" s="74"/>
      <c r="L5" s="74"/>
    </row>
    <row r="6" spans="1:33" ht="27" customHeight="1" thickBot="1" x14ac:dyDescent="0.25">
      <c r="A6" s="73" t="s">
        <v>48</v>
      </c>
      <c r="B6" s="73" t="s">
        <v>42</v>
      </c>
      <c r="C6" s="73" t="s">
        <v>43</v>
      </c>
      <c r="D6" s="74" t="s">
        <v>44</v>
      </c>
      <c r="E6" s="74" t="s">
        <v>45</v>
      </c>
      <c r="F6" s="74" t="s">
        <v>46</v>
      </c>
      <c r="G6" s="74" t="s">
        <v>47</v>
      </c>
      <c r="H6" s="74" t="s">
        <v>41</v>
      </c>
      <c r="I6" s="74"/>
      <c r="J6" s="74"/>
      <c r="K6" s="74"/>
      <c r="L6" s="74"/>
    </row>
    <row r="7" spans="1:33" ht="15" customHeight="1" thickBot="1" x14ac:dyDescent="0.25">
      <c r="A7" s="73" t="s">
        <v>54</v>
      </c>
      <c r="B7" s="73" t="s">
        <v>49</v>
      </c>
      <c r="C7" s="73" t="s">
        <v>50</v>
      </c>
      <c r="D7" s="74" t="s">
        <v>104</v>
      </c>
      <c r="E7" s="74" t="s">
        <v>52</v>
      </c>
      <c r="F7" s="74" t="s">
        <v>46</v>
      </c>
      <c r="G7" s="74" t="s">
        <v>270</v>
      </c>
      <c r="H7" s="74" t="s">
        <v>139</v>
      </c>
      <c r="I7" s="74"/>
      <c r="J7" s="74"/>
      <c r="K7" s="74"/>
      <c r="L7" s="74"/>
    </row>
    <row r="8" spans="1:33" ht="15" customHeight="1" thickBot="1" x14ac:dyDescent="0.25">
      <c r="A8" s="73" t="s">
        <v>60</v>
      </c>
      <c r="B8" s="73" t="s">
        <v>49</v>
      </c>
      <c r="C8" s="73" t="s">
        <v>55</v>
      </c>
      <c r="D8" s="74" t="s">
        <v>104</v>
      </c>
      <c r="E8" s="74" t="s">
        <v>57</v>
      </c>
      <c r="F8" s="74" t="s">
        <v>46</v>
      </c>
      <c r="G8" s="74" t="s">
        <v>271</v>
      </c>
      <c r="H8" s="74" t="s">
        <v>41</v>
      </c>
      <c r="I8" s="74"/>
      <c r="J8" s="74"/>
      <c r="K8" s="74"/>
      <c r="L8" s="74"/>
    </row>
    <row r="9" spans="1:33" ht="15" customHeight="1" thickBot="1" x14ac:dyDescent="0.25">
      <c r="A9" s="73" t="s">
        <v>64</v>
      </c>
      <c r="B9" s="73" t="s">
        <v>49</v>
      </c>
      <c r="C9" s="73" t="s">
        <v>61</v>
      </c>
      <c r="D9" s="74" t="s">
        <v>104</v>
      </c>
      <c r="E9" s="74" t="s">
        <v>62</v>
      </c>
      <c r="F9" s="74" t="s">
        <v>46</v>
      </c>
      <c r="G9" s="74" t="s">
        <v>272</v>
      </c>
      <c r="H9" s="74" t="s">
        <v>41</v>
      </c>
      <c r="I9" s="74"/>
      <c r="J9" s="74"/>
      <c r="K9" s="74"/>
      <c r="L9" s="74"/>
    </row>
    <row r="10" spans="1:33" ht="15" customHeight="1" thickBot="1" x14ac:dyDescent="0.25">
      <c r="A10" s="73" t="s">
        <v>69</v>
      </c>
      <c r="B10" s="73" t="s">
        <v>65</v>
      </c>
      <c r="C10" s="73" t="s">
        <v>273</v>
      </c>
      <c r="D10" s="74" t="s">
        <v>67</v>
      </c>
      <c r="E10" s="74" t="s">
        <v>274</v>
      </c>
      <c r="F10" s="74" t="s">
        <v>46</v>
      </c>
      <c r="G10" s="74" t="s">
        <v>275</v>
      </c>
      <c r="H10" s="74" t="s">
        <v>41</v>
      </c>
      <c r="I10" s="74"/>
      <c r="J10" s="74"/>
      <c r="K10" s="74"/>
      <c r="L10" s="74"/>
    </row>
    <row r="11" spans="1:33" ht="15" customHeight="1" thickBot="1" x14ac:dyDescent="0.25">
      <c r="A11" s="73" t="s">
        <v>74</v>
      </c>
      <c r="B11" s="73" t="s">
        <v>70</v>
      </c>
      <c r="C11" s="73" t="s">
        <v>71</v>
      </c>
      <c r="D11" s="74" t="s">
        <v>72</v>
      </c>
      <c r="E11" s="74" t="s">
        <v>40</v>
      </c>
      <c r="F11" s="74" t="s">
        <v>46</v>
      </c>
      <c r="G11" s="74" t="s">
        <v>73</v>
      </c>
      <c r="H11" s="74" t="s">
        <v>89</v>
      </c>
      <c r="I11" s="74"/>
      <c r="J11" s="74"/>
      <c r="K11" s="74"/>
      <c r="L11" s="74"/>
    </row>
    <row r="12" spans="1:33" ht="15" customHeight="1" thickBot="1" x14ac:dyDescent="0.25">
      <c r="A12" s="73" t="s">
        <v>80</v>
      </c>
      <c r="B12" s="73" t="s">
        <v>253</v>
      </c>
      <c r="C12" s="73" t="s">
        <v>254</v>
      </c>
      <c r="D12" s="74" t="s">
        <v>67</v>
      </c>
      <c r="E12" s="74" t="s">
        <v>256</v>
      </c>
      <c r="F12" s="74" t="s">
        <v>46</v>
      </c>
      <c r="G12" s="74" t="s">
        <v>276</v>
      </c>
      <c r="H12" s="74" t="s">
        <v>54</v>
      </c>
      <c r="I12" s="74"/>
      <c r="J12" s="74"/>
      <c r="K12" s="74"/>
      <c r="L12" s="74"/>
    </row>
    <row r="13" spans="1:33" ht="27" customHeight="1" thickBot="1" x14ac:dyDescent="0.25">
      <c r="A13" s="73" t="s">
        <v>85</v>
      </c>
      <c r="B13" s="73" t="s">
        <v>75</v>
      </c>
      <c r="C13" s="73" t="s">
        <v>76</v>
      </c>
      <c r="D13" s="74" t="s">
        <v>77</v>
      </c>
      <c r="E13" s="74" t="s">
        <v>78</v>
      </c>
      <c r="F13" s="74" t="s">
        <v>46</v>
      </c>
      <c r="G13" s="74" t="s">
        <v>79</v>
      </c>
      <c r="H13" s="74" t="s">
        <v>41</v>
      </c>
      <c r="I13" s="74"/>
      <c r="J13" s="74"/>
      <c r="K13" s="74"/>
      <c r="L13" s="74"/>
    </row>
    <row r="14" spans="1:33" ht="27" customHeight="1" thickBot="1" x14ac:dyDescent="0.25">
      <c r="A14" s="73" t="s">
        <v>89</v>
      </c>
      <c r="B14" s="73" t="s">
        <v>81</v>
      </c>
      <c r="C14" s="73" t="s">
        <v>82</v>
      </c>
      <c r="D14" s="74" t="s">
        <v>72</v>
      </c>
      <c r="E14" s="74" t="s">
        <v>83</v>
      </c>
      <c r="F14" s="74" t="s">
        <v>46</v>
      </c>
      <c r="G14" s="74" t="s">
        <v>84</v>
      </c>
      <c r="H14" s="74" t="s">
        <v>37</v>
      </c>
      <c r="I14" s="74"/>
      <c r="J14" s="74"/>
      <c r="K14" s="74"/>
      <c r="L14" s="74"/>
    </row>
    <row r="15" spans="1:33" ht="15" customHeight="1" thickBot="1" x14ac:dyDescent="0.25">
      <c r="A15" s="73" t="s">
        <v>95</v>
      </c>
      <c r="B15" s="73" t="s">
        <v>90</v>
      </c>
      <c r="C15" s="73" t="s">
        <v>91</v>
      </c>
      <c r="D15" s="74" t="s">
        <v>92</v>
      </c>
      <c r="E15" s="74" t="s">
        <v>93</v>
      </c>
      <c r="F15" s="74" t="s">
        <v>46</v>
      </c>
      <c r="G15" s="74" t="s">
        <v>94</v>
      </c>
      <c r="H15" s="74" t="s">
        <v>37</v>
      </c>
      <c r="I15" s="74"/>
      <c r="J15" s="74"/>
      <c r="K15" s="74"/>
      <c r="L15" s="74"/>
    </row>
    <row r="16" spans="1:33" ht="15" customHeight="1" thickBot="1" x14ac:dyDescent="0.25">
      <c r="A16" s="73" t="s">
        <v>101</v>
      </c>
      <c r="B16" s="73" t="s">
        <v>96</v>
      </c>
      <c r="C16" s="73" t="s">
        <v>97</v>
      </c>
      <c r="D16" s="74" t="s">
        <v>98</v>
      </c>
      <c r="E16" s="74" t="s">
        <v>99</v>
      </c>
      <c r="F16" s="74" t="s">
        <v>46</v>
      </c>
      <c r="G16" s="74" t="s">
        <v>100</v>
      </c>
      <c r="H16" s="74" t="s">
        <v>41</v>
      </c>
      <c r="I16" s="74"/>
      <c r="J16" s="74"/>
      <c r="K16" s="74"/>
      <c r="L16" s="74"/>
    </row>
    <row r="17" spans="1:12" ht="27" customHeight="1" thickBot="1" x14ac:dyDescent="0.25">
      <c r="A17" s="73" t="s">
        <v>59</v>
      </c>
      <c r="B17" s="73" t="s">
        <v>277</v>
      </c>
      <c r="C17" s="73" t="s">
        <v>278</v>
      </c>
      <c r="D17" s="74" t="s">
        <v>40</v>
      </c>
      <c r="E17" s="74" t="s">
        <v>40</v>
      </c>
      <c r="F17" s="74" t="s">
        <v>46</v>
      </c>
      <c r="G17" s="74" t="s">
        <v>279</v>
      </c>
      <c r="H17" s="74" t="s">
        <v>41</v>
      </c>
      <c r="I17" s="74"/>
      <c r="J17" s="74"/>
      <c r="K17" s="74"/>
      <c r="L17" s="74"/>
    </row>
    <row r="18" spans="1:12" ht="15" customHeight="1" thickBot="1" x14ac:dyDescent="0.25">
      <c r="A18" s="73" t="s">
        <v>110</v>
      </c>
      <c r="B18" s="73" t="s">
        <v>280</v>
      </c>
      <c r="C18" s="73" t="s">
        <v>281</v>
      </c>
      <c r="D18" s="74" t="s">
        <v>282</v>
      </c>
      <c r="E18" s="74" t="s">
        <v>40</v>
      </c>
      <c r="F18" s="74" t="s">
        <v>46</v>
      </c>
      <c r="G18" s="74" t="s">
        <v>283</v>
      </c>
      <c r="H18" s="74" t="s">
        <v>37</v>
      </c>
      <c r="I18" s="74"/>
      <c r="J18" s="74"/>
      <c r="K18" s="74"/>
      <c r="L18" s="74"/>
    </row>
    <row r="19" spans="1:12" ht="15" customHeight="1" thickBot="1" x14ac:dyDescent="0.25">
      <c r="A19" s="73" t="s">
        <v>116</v>
      </c>
      <c r="B19" s="73" t="s">
        <v>106</v>
      </c>
      <c r="C19" s="73" t="s">
        <v>284</v>
      </c>
      <c r="D19" s="74" t="s">
        <v>285</v>
      </c>
      <c r="E19" s="74" t="s">
        <v>286</v>
      </c>
      <c r="F19" s="74" t="s">
        <v>46</v>
      </c>
      <c r="G19" s="74" t="s">
        <v>287</v>
      </c>
      <c r="H19" s="74" t="s">
        <v>41</v>
      </c>
      <c r="I19" s="74"/>
      <c r="J19" s="74"/>
      <c r="K19" s="74"/>
      <c r="L19" s="74"/>
    </row>
    <row r="20" spans="1:12" ht="27" customHeight="1" thickBot="1" x14ac:dyDescent="0.25">
      <c r="A20" s="73" t="s">
        <v>120</v>
      </c>
      <c r="B20" s="73" t="s">
        <v>111</v>
      </c>
      <c r="C20" s="73" t="s">
        <v>112</v>
      </c>
      <c r="D20" s="74" t="s">
        <v>113</v>
      </c>
      <c r="E20" s="74" t="s">
        <v>114</v>
      </c>
      <c r="F20" s="74" t="s">
        <v>46</v>
      </c>
      <c r="G20" s="74" t="s">
        <v>115</v>
      </c>
      <c r="H20" s="74" t="s">
        <v>41</v>
      </c>
      <c r="I20" s="74"/>
      <c r="J20" s="74"/>
      <c r="K20" s="74"/>
      <c r="L20" s="74"/>
    </row>
    <row r="21" spans="1:12" ht="27" customHeight="1" thickBot="1" x14ac:dyDescent="0.25">
      <c r="A21" s="73" t="s">
        <v>123</v>
      </c>
      <c r="B21" s="73" t="s">
        <v>111</v>
      </c>
      <c r="C21" s="73" t="s">
        <v>117</v>
      </c>
      <c r="D21" s="74" t="s">
        <v>113</v>
      </c>
      <c r="E21" s="74" t="s">
        <v>118</v>
      </c>
      <c r="F21" s="74" t="s">
        <v>46</v>
      </c>
      <c r="G21" s="74" t="s">
        <v>119</v>
      </c>
      <c r="H21" s="74" t="s">
        <v>41</v>
      </c>
      <c r="I21" s="74"/>
      <c r="J21" s="74"/>
      <c r="K21" s="74"/>
      <c r="L21" s="74"/>
    </row>
    <row r="22" spans="1:12" ht="27" customHeight="1" thickBot="1" x14ac:dyDescent="0.25">
      <c r="A22" s="73" t="s">
        <v>128</v>
      </c>
      <c r="B22" s="73" t="s">
        <v>111</v>
      </c>
      <c r="C22" s="73" t="s">
        <v>121</v>
      </c>
      <c r="D22" s="74" t="s">
        <v>113</v>
      </c>
      <c r="E22" s="74" t="s">
        <v>118</v>
      </c>
      <c r="F22" s="74" t="s">
        <v>46</v>
      </c>
      <c r="G22" s="74" t="s">
        <v>122</v>
      </c>
      <c r="H22" s="74" t="s">
        <v>41</v>
      </c>
      <c r="I22" s="74"/>
      <c r="J22" s="74"/>
      <c r="K22" s="74"/>
      <c r="L22" s="74"/>
    </row>
    <row r="23" spans="1:12" ht="27" customHeight="1" thickBot="1" x14ac:dyDescent="0.25">
      <c r="A23" s="73" t="s">
        <v>134</v>
      </c>
      <c r="B23" s="73" t="s">
        <v>124</v>
      </c>
      <c r="C23" s="73" t="s">
        <v>288</v>
      </c>
      <c r="D23" s="74" t="s">
        <v>126</v>
      </c>
      <c r="E23" s="74" t="s">
        <v>40</v>
      </c>
      <c r="F23" s="74" t="s">
        <v>46</v>
      </c>
      <c r="G23" s="74" t="s">
        <v>289</v>
      </c>
      <c r="H23" s="74" t="s">
        <v>41</v>
      </c>
      <c r="I23" s="74"/>
      <c r="J23" s="74"/>
      <c r="K23" s="74"/>
      <c r="L23" s="74"/>
    </row>
    <row r="24" spans="1:12" ht="15" customHeight="1" thickBot="1" x14ac:dyDescent="0.25">
      <c r="A24" s="73" t="s">
        <v>139</v>
      </c>
      <c r="B24" s="73" t="s">
        <v>124</v>
      </c>
      <c r="C24" s="73" t="s">
        <v>290</v>
      </c>
      <c r="D24" s="74" t="s">
        <v>126</v>
      </c>
      <c r="E24" s="74" t="s">
        <v>40</v>
      </c>
      <c r="F24" s="74" t="s">
        <v>46</v>
      </c>
      <c r="G24" s="74" t="s">
        <v>291</v>
      </c>
      <c r="H24" s="74" t="s">
        <v>41</v>
      </c>
      <c r="I24" s="74"/>
      <c r="J24" s="74"/>
      <c r="K24" s="74"/>
      <c r="L24" s="74"/>
    </row>
    <row r="25" spans="1:12" ht="15" customHeight="1" thickBot="1" x14ac:dyDescent="0.25">
      <c r="A25" s="73" t="s">
        <v>145</v>
      </c>
      <c r="B25" s="73" t="s">
        <v>292</v>
      </c>
      <c r="C25" s="73" t="s">
        <v>293</v>
      </c>
      <c r="D25" s="74" t="s">
        <v>40</v>
      </c>
      <c r="E25" s="74" t="s">
        <v>294</v>
      </c>
      <c r="F25" s="74" t="s">
        <v>46</v>
      </c>
      <c r="G25" s="74" t="s">
        <v>295</v>
      </c>
      <c r="H25" s="74" t="s">
        <v>37</v>
      </c>
      <c r="I25" s="74"/>
      <c r="J25" s="74"/>
      <c r="K25" s="74"/>
      <c r="L25" s="74"/>
    </row>
    <row r="26" spans="1:12" ht="15" customHeight="1" thickBot="1" x14ac:dyDescent="0.25">
      <c r="A26" s="73" t="s">
        <v>149</v>
      </c>
      <c r="B26" s="73" t="s">
        <v>129</v>
      </c>
      <c r="C26" s="73" t="s">
        <v>130</v>
      </c>
      <c r="D26" s="74" t="s">
        <v>40</v>
      </c>
      <c r="E26" s="74" t="s">
        <v>131</v>
      </c>
      <c r="F26" s="74" t="s">
        <v>132</v>
      </c>
      <c r="G26" s="74" t="s">
        <v>133</v>
      </c>
      <c r="H26" s="74" t="s">
        <v>37</v>
      </c>
      <c r="I26" s="74"/>
      <c r="J26" s="74"/>
      <c r="K26" s="74"/>
      <c r="L26" s="74"/>
    </row>
    <row r="27" spans="1:12" ht="15" customHeight="1" thickBot="1" x14ac:dyDescent="0.25">
      <c r="A27" s="73" t="s">
        <v>155</v>
      </c>
      <c r="B27" s="73" t="s">
        <v>135</v>
      </c>
      <c r="C27" s="73" t="s">
        <v>136</v>
      </c>
      <c r="D27" s="74" t="s">
        <v>137</v>
      </c>
      <c r="E27" s="74" t="s">
        <v>138</v>
      </c>
      <c r="F27" s="74" t="s">
        <v>132</v>
      </c>
      <c r="G27" s="74" t="s">
        <v>136</v>
      </c>
      <c r="H27" s="74" t="s">
        <v>37</v>
      </c>
      <c r="I27" s="74"/>
      <c r="J27" s="74"/>
      <c r="K27" s="74"/>
      <c r="L27" s="74"/>
    </row>
    <row r="28" spans="1:12" ht="27" customHeight="1" thickBot="1" x14ac:dyDescent="0.25">
      <c r="A28" s="73" t="s">
        <v>159</v>
      </c>
      <c r="B28" s="73" t="s">
        <v>140</v>
      </c>
      <c r="C28" s="73" t="s">
        <v>141</v>
      </c>
      <c r="D28" s="74" t="s">
        <v>142</v>
      </c>
      <c r="E28" s="74" t="s">
        <v>40</v>
      </c>
      <c r="F28" s="74" t="s">
        <v>143</v>
      </c>
      <c r="G28" s="74" t="s">
        <v>144</v>
      </c>
      <c r="H28" s="74" t="s">
        <v>37</v>
      </c>
      <c r="I28" s="74"/>
      <c r="J28" s="74"/>
      <c r="K28" s="74"/>
      <c r="L28" s="74"/>
    </row>
    <row r="29" spans="1:12" ht="15" customHeight="1" thickBot="1" x14ac:dyDescent="0.25">
      <c r="A29" s="73" t="s">
        <v>165</v>
      </c>
      <c r="B29" s="73" t="s">
        <v>150</v>
      </c>
      <c r="C29" s="73" t="s">
        <v>151</v>
      </c>
      <c r="D29" s="74" t="s">
        <v>152</v>
      </c>
      <c r="E29" s="74" t="s">
        <v>153</v>
      </c>
      <c r="F29" s="74" t="s">
        <v>143</v>
      </c>
      <c r="G29" s="74" t="s">
        <v>154</v>
      </c>
      <c r="H29" s="74" t="s">
        <v>37</v>
      </c>
      <c r="I29" s="74"/>
      <c r="J29" s="74"/>
      <c r="K29" s="74"/>
      <c r="L29" s="74"/>
    </row>
    <row r="30" spans="1:12" ht="15" customHeight="1" thickBot="1" x14ac:dyDescent="0.25">
      <c r="A30" s="73" t="s">
        <v>170</v>
      </c>
      <c r="B30" s="73" t="s">
        <v>156</v>
      </c>
      <c r="C30" s="73" t="s">
        <v>157</v>
      </c>
      <c r="D30" s="74" t="s">
        <v>40</v>
      </c>
      <c r="E30" s="74" t="s">
        <v>40</v>
      </c>
      <c r="F30" s="74" t="s">
        <v>158</v>
      </c>
      <c r="G30" s="74" t="s">
        <v>40</v>
      </c>
      <c r="H30" s="74" t="s">
        <v>37</v>
      </c>
      <c r="I30" s="74"/>
      <c r="J30" s="74"/>
      <c r="K30" s="74"/>
      <c r="L30" s="74"/>
    </row>
    <row r="31" spans="1:12" ht="15" customHeight="1" thickBot="1" x14ac:dyDescent="0.25">
      <c r="A31" s="73" t="s">
        <v>175</v>
      </c>
      <c r="B31" s="73" t="s">
        <v>160</v>
      </c>
      <c r="C31" s="73" t="s">
        <v>161</v>
      </c>
      <c r="D31" s="74" t="s">
        <v>40</v>
      </c>
      <c r="E31" s="74" t="s">
        <v>40</v>
      </c>
      <c r="F31" s="74" t="s">
        <v>162</v>
      </c>
      <c r="G31" s="74" t="s">
        <v>163</v>
      </c>
      <c r="H31" s="74" t="s">
        <v>296</v>
      </c>
      <c r="I31" s="74"/>
      <c r="J31" s="74"/>
      <c r="K31" s="74"/>
      <c r="L31" s="74"/>
    </row>
    <row r="32" spans="1:12" ht="27" customHeight="1" thickBot="1" x14ac:dyDescent="0.25">
      <c r="A32" s="73" t="s">
        <v>179</v>
      </c>
      <c r="B32" s="73" t="s">
        <v>297</v>
      </c>
      <c r="C32" s="73" t="s">
        <v>167</v>
      </c>
      <c r="D32" s="74" t="s">
        <v>40</v>
      </c>
      <c r="E32" s="74" t="s">
        <v>40</v>
      </c>
      <c r="F32" s="74" t="s">
        <v>162</v>
      </c>
      <c r="G32" s="74" t="s">
        <v>168</v>
      </c>
      <c r="H32" s="74" t="s">
        <v>298</v>
      </c>
      <c r="I32" s="74"/>
      <c r="J32" s="74"/>
      <c r="K32" s="74"/>
      <c r="L32" s="74"/>
    </row>
    <row r="33" spans="1:12" ht="27" customHeight="1" thickBot="1" x14ac:dyDescent="0.25">
      <c r="A33" s="73" t="s">
        <v>184</v>
      </c>
      <c r="B33" s="73" t="s">
        <v>171</v>
      </c>
      <c r="C33" s="73" t="s">
        <v>172</v>
      </c>
      <c r="D33" s="74" t="s">
        <v>40</v>
      </c>
      <c r="E33" s="74" t="s">
        <v>40</v>
      </c>
      <c r="F33" s="74" t="s">
        <v>162</v>
      </c>
      <c r="G33" s="74" t="s">
        <v>173</v>
      </c>
      <c r="H33" s="74" t="s">
        <v>299</v>
      </c>
      <c r="I33" s="74"/>
      <c r="J33" s="74"/>
      <c r="K33" s="74"/>
      <c r="L33" s="74"/>
    </row>
    <row r="34" spans="1:12" ht="15" customHeight="1" thickBot="1" x14ac:dyDescent="0.25">
      <c r="A34" s="73" t="s">
        <v>189</v>
      </c>
      <c r="B34" s="73" t="s">
        <v>176</v>
      </c>
      <c r="C34" s="73" t="s">
        <v>177</v>
      </c>
      <c r="D34" s="74" t="s">
        <v>40</v>
      </c>
      <c r="E34" s="74" t="s">
        <v>40</v>
      </c>
      <c r="F34" s="74" t="s">
        <v>162</v>
      </c>
      <c r="G34" s="74" t="s">
        <v>178</v>
      </c>
      <c r="H34" s="74" t="s">
        <v>300</v>
      </c>
      <c r="I34" s="74"/>
      <c r="J34" s="74"/>
      <c r="K34" s="74"/>
      <c r="L34" s="74"/>
    </row>
    <row r="35" spans="1:12" ht="15" customHeight="1" thickBot="1" x14ac:dyDescent="0.25">
      <c r="A35" s="73" t="s">
        <v>193</v>
      </c>
      <c r="B35" s="73" t="s">
        <v>180</v>
      </c>
      <c r="C35" s="73" t="s">
        <v>181</v>
      </c>
      <c r="D35" s="74" t="s">
        <v>40</v>
      </c>
      <c r="E35" s="74" t="s">
        <v>40</v>
      </c>
      <c r="F35" s="74" t="s">
        <v>162</v>
      </c>
      <c r="G35" s="74" t="s">
        <v>182</v>
      </c>
      <c r="H35" s="74" t="s">
        <v>301</v>
      </c>
      <c r="I35" s="74"/>
      <c r="J35" s="74"/>
      <c r="K35" s="74"/>
      <c r="L35" s="74"/>
    </row>
    <row r="36" spans="1:12" ht="15" customHeight="1" thickBot="1" x14ac:dyDescent="0.25">
      <c r="A36" s="73" t="s">
        <v>197</v>
      </c>
      <c r="B36" s="73" t="s">
        <v>185</v>
      </c>
      <c r="C36" s="73" t="s">
        <v>186</v>
      </c>
      <c r="D36" s="74" t="s">
        <v>40</v>
      </c>
      <c r="E36" s="74" t="s">
        <v>187</v>
      </c>
      <c r="F36" s="74" t="s">
        <v>162</v>
      </c>
      <c r="G36" s="74" t="s">
        <v>188</v>
      </c>
      <c r="H36" s="74" t="s">
        <v>123</v>
      </c>
      <c r="I36" s="74"/>
      <c r="J36" s="74"/>
      <c r="K36" s="74"/>
      <c r="L36" s="74"/>
    </row>
    <row r="37" spans="1:12" ht="15" customHeight="1" thickBot="1" x14ac:dyDescent="0.25">
      <c r="A37" s="73" t="s">
        <v>201</v>
      </c>
      <c r="B37" s="73" t="s">
        <v>190</v>
      </c>
      <c r="C37" s="73" t="s">
        <v>191</v>
      </c>
      <c r="D37" s="74" t="s">
        <v>40</v>
      </c>
      <c r="E37" s="74" t="s">
        <v>40</v>
      </c>
      <c r="F37" s="74" t="s">
        <v>162</v>
      </c>
      <c r="G37" s="74" t="s">
        <v>192</v>
      </c>
      <c r="H37" s="74" t="s">
        <v>218</v>
      </c>
      <c r="I37" s="74"/>
      <c r="J37" s="74"/>
      <c r="K37" s="74"/>
      <c r="L37" s="74"/>
    </row>
    <row r="38" spans="1:12" ht="27" customHeight="1" thickBot="1" x14ac:dyDescent="0.25">
      <c r="A38" s="73" t="s">
        <v>205</v>
      </c>
      <c r="B38" s="73" t="s">
        <v>194</v>
      </c>
      <c r="C38" s="73" t="s">
        <v>195</v>
      </c>
      <c r="D38" s="74" t="s">
        <v>40</v>
      </c>
      <c r="E38" s="74" t="s">
        <v>40</v>
      </c>
      <c r="F38" s="74" t="s">
        <v>162</v>
      </c>
      <c r="G38" s="74" t="s">
        <v>196</v>
      </c>
      <c r="H38" s="74" t="s">
        <v>134</v>
      </c>
      <c r="I38" s="74"/>
      <c r="J38" s="74"/>
      <c r="K38" s="74"/>
      <c r="L38" s="74"/>
    </row>
    <row r="39" spans="1:12" ht="15" customHeight="1" thickBot="1" x14ac:dyDescent="0.25">
      <c r="A39" s="73" t="s">
        <v>164</v>
      </c>
      <c r="B39" s="73" t="s">
        <v>198</v>
      </c>
      <c r="C39" s="73" t="s">
        <v>199</v>
      </c>
      <c r="D39" s="74" t="s">
        <v>40</v>
      </c>
      <c r="E39" s="74" t="s">
        <v>40</v>
      </c>
      <c r="F39" s="74" t="s">
        <v>162</v>
      </c>
      <c r="G39" s="74" t="s">
        <v>200</v>
      </c>
      <c r="H39" s="74" t="s">
        <v>302</v>
      </c>
      <c r="I39" s="74"/>
      <c r="J39" s="74"/>
      <c r="K39" s="74"/>
      <c r="L39" s="74"/>
    </row>
    <row r="40" spans="1:12" ht="15" customHeight="1" thickBot="1" x14ac:dyDescent="0.25">
      <c r="A40" s="73" t="s">
        <v>211</v>
      </c>
      <c r="B40" s="73" t="s">
        <v>202</v>
      </c>
      <c r="C40" s="73" t="s">
        <v>203</v>
      </c>
      <c r="D40" s="74" t="s">
        <v>40</v>
      </c>
      <c r="E40" s="74" t="s">
        <v>40</v>
      </c>
      <c r="F40" s="74" t="s">
        <v>162</v>
      </c>
      <c r="G40" s="74" t="s">
        <v>204</v>
      </c>
      <c r="H40" s="74" t="s">
        <v>37</v>
      </c>
      <c r="I40" s="74"/>
      <c r="J40" s="74"/>
      <c r="K40" s="74"/>
      <c r="L40" s="74"/>
    </row>
    <row r="41" spans="1:12" ht="15" customHeight="1" thickBot="1" x14ac:dyDescent="0.25">
      <c r="A41" s="73" t="s">
        <v>216</v>
      </c>
      <c r="B41" s="73" t="s">
        <v>206</v>
      </c>
      <c r="C41" s="73" t="s">
        <v>207</v>
      </c>
      <c r="D41" s="74" t="s">
        <v>40</v>
      </c>
      <c r="E41" s="74" t="s">
        <v>40</v>
      </c>
      <c r="F41" s="74" t="s">
        <v>162</v>
      </c>
      <c r="G41" s="74" t="s">
        <v>208</v>
      </c>
      <c r="H41" s="74" t="s">
        <v>37</v>
      </c>
      <c r="I41" s="74"/>
      <c r="J41" s="74"/>
      <c r="K41" s="74"/>
      <c r="L41" s="74"/>
    </row>
    <row r="42" spans="1:12" ht="15" customHeight="1" x14ac:dyDescent="0.2">
      <c r="A42" s="75" t="s">
        <v>218</v>
      </c>
      <c r="B42" s="75" t="s">
        <v>209</v>
      </c>
      <c r="C42" s="75" t="s">
        <v>210</v>
      </c>
      <c r="D42" s="76" t="s">
        <v>40</v>
      </c>
      <c r="E42" s="76" t="s">
        <v>40</v>
      </c>
      <c r="F42" s="76" t="s">
        <v>162</v>
      </c>
      <c r="G42" s="76" t="s">
        <v>192</v>
      </c>
      <c r="H42" s="76" t="s">
        <v>218</v>
      </c>
      <c r="I42" s="76"/>
      <c r="J42" s="76"/>
      <c r="K42" s="76"/>
      <c r="L42" s="76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/>
  <headerFooter>
    <oddHeader xml:space="preserve">&amp;L&amp;"ABB Logo,Plain"&amp;42ABB&amp;20
&amp;"Arial,Regular"&amp;11ABB Suiza SA&amp;C&amp;14Bill of Material&amp;R&amp;14
</oddHeader>
    <oddFooter>&amp;L&amp;11Prepared / M.G.P.
Approved / D.FAGIOLI&amp;R&amp;11&amp;F
Date: &amp;D &amp; =IF(0 &lt;&gt;""; Rev. ind.: 0; "")
Sheet &amp;P of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AG41"/>
  <sheetViews>
    <sheetView zoomScaleNormal="100" zoomScaleSheetLayoutView="100" workbookViewId="0">
      <pane ySplit="3" topLeftCell="A4" activePane="bottomLeft" state="frozen"/>
      <selection pane="bottomLeft"/>
    </sheetView>
  </sheetViews>
  <sheetFormatPr defaultRowHeight="12.75" x14ac:dyDescent="0.2"/>
  <cols>
    <col min="1" max="1" width="5.5703125" style="66" customWidth="1"/>
    <col min="2" max="2" width="27.140625" style="66" customWidth="1"/>
    <col min="3" max="3" width="32.5703125" style="66" customWidth="1"/>
    <col min="4" max="4" width="22.5703125" style="66" customWidth="1"/>
    <col min="5" max="5" width="22.7109375" style="66" customWidth="1"/>
    <col min="6" max="6" width="20.5703125" style="66" customWidth="1"/>
    <col min="7" max="7" width="22.5703125" style="66" customWidth="1"/>
    <col min="8" max="8" width="9.140625" style="66" customWidth="1"/>
    <col min="9" max="9" width="8.5703125" style="66" customWidth="1"/>
    <col min="10" max="10" width="17.5703125" style="66" customWidth="1"/>
    <col min="11" max="11" width="21.7109375" style="66" customWidth="1"/>
    <col min="12" max="12" width="6.5703125" style="66" customWidth="1"/>
    <col min="13" max="13" width="28.5703125" style="66" customWidth="1"/>
  </cols>
  <sheetData>
    <row r="1" spans="1:33" x14ac:dyDescent="0.2">
      <c r="C1" s="54"/>
      <c r="D1" s="66" t="s">
        <v>227</v>
      </c>
      <c r="E1" s="66">
        <v>1</v>
      </c>
    </row>
    <row r="2" spans="1:33" s="19" customFormat="1" ht="25.15" customHeight="1" x14ac:dyDescent="0.25">
      <c r="A2" s="142"/>
      <c r="B2" s="142"/>
      <c r="C2" s="142"/>
      <c r="D2" s="142"/>
      <c r="E2" s="142"/>
      <c r="F2" s="142"/>
      <c r="G2" s="142"/>
      <c r="H2" s="142"/>
      <c r="I2" s="142"/>
      <c r="J2" s="142"/>
      <c r="K2" s="49"/>
      <c r="L2" s="44"/>
      <c r="M2" s="22"/>
      <c r="N2" s="22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</row>
    <row r="3" spans="1:33" ht="36" customHeight="1" thickBot="1" x14ac:dyDescent="0.25">
      <c r="A3" s="65" t="s">
        <v>14</v>
      </c>
      <c r="B3" s="65" t="s">
        <v>0</v>
      </c>
      <c r="C3" s="65" t="s">
        <v>30</v>
      </c>
      <c r="D3" s="65" t="s">
        <v>5</v>
      </c>
      <c r="E3" s="65" t="s">
        <v>26</v>
      </c>
      <c r="F3" s="65" t="s">
        <v>31</v>
      </c>
      <c r="G3" s="65" t="s">
        <v>16</v>
      </c>
      <c r="H3" s="65" t="s">
        <v>35</v>
      </c>
      <c r="I3" s="65" t="s">
        <v>36</v>
      </c>
      <c r="J3" s="65" t="s">
        <v>33</v>
      </c>
      <c r="K3" s="65" t="s">
        <v>34</v>
      </c>
      <c r="L3" s="65" t="s">
        <v>17</v>
      </c>
    </row>
    <row r="4" spans="1:33" ht="15" customHeight="1" thickBot="1" x14ac:dyDescent="0.25">
      <c r="A4" s="73" t="s">
        <v>37</v>
      </c>
      <c r="B4" s="73" t="s">
        <v>38</v>
      </c>
      <c r="C4" s="73" t="s">
        <v>39</v>
      </c>
      <c r="D4" s="74" t="s">
        <v>40</v>
      </c>
      <c r="E4" s="74" t="s">
        <v>40</v>
      </c>
      <c r="F4" s="74" t="s">
        <v>40</v>
      </c>
      <c r="G4" s="74" t="s">
        <v>40</v>
      </c>
      <c r="H4" s="74" t="s">
        <v>41</v>
      </c>
      <c r="I4" s="74"/>
      <c r="J4" s="74"/>
      <c r="K4" s="74"/>
      <c r="L4" s="74"/>
    </row>
    <row r="5" spans="1:33" ht="27" customHeight="1" thickBot="1" x14ac:dyDescent="0.25">
      <c r="A5" s="73" t="s">
        <v>41</v>
      </c>
      <c r="B5" s="73" t="s">
        <v>42</v>
      </c>
      <c r="C5" s="73" t="s">
        <v>43</v>
      </c>
      <c r="D5" s="74" t="s">
        <v>44</v>
      </c>
      <c r="E5" s="74" t="s">
        <v>45</v>
      </c>
      <c r="F5" s="74" t="s">
        <v>46</v>
      </c>
      <c r="G5" s="74" t="s">
        <v>47</v>
      </c>
      <c r="H5" s="74" t="s">
        <v>41</v>
      </c>
      <c r="I5" s="74"/>
      <c r="J5" s="74"/>
      <c r="K5" s="74"/>
      <c r="L5" s="74"/>
    </row>
    <row r="6" spans="1:33" ht="15" customHeight="1" thickBot="1" x14ac:dyDescent="0.25">
      <c r="A6" s="73" t="s">
        <v>48</v>
      </c>
      <c r="B6" s="73" t="s">
        <v>49</v>
      </c>
      <c r="C6" s="73" t="s">
        <v>50</v>
      </c>
      <c r="D6" s="74" t="s">
        <v>104</v>
      </c>
      <c r="E6" s="74" t="s">
        <v>52</v>
      </c>
      <c r="F6" s="74" t="s">
        <v>46</v>
      </c>
      <c r="G6" s="74" t="s">
        <v>270</v>
      </c>
      <c r="H6" s="74" t="s">
        <v>139</v>
      </c>
      <c r="I6" s="74"/>
      <c r="J6" s="74"/>
      <c r="K6" s="74"/>
      <c r="L6" s="74"/>
    </row>
    <row r="7" spans="1:33" ht="15" customHeight="1" thickBot="1" x14ac:dyDescent="0.25">
      <c r="A7" s="73" t="s">
        <v>54</v>
      </c>
      <c r="B7" s="73" t="s">
        <v>49</v>
      </c>
      <c r="C7" s="73" t="s">
        <v>55</v>
      </c>
      <c r="D7" s="74" t="s">
        <v>104</v>
      </c>
      <c r="E7" s="74" t="s">
        <v>57</v>
      </c>
      <c r="F7" s="74" t="s">
        <v>46</v>
      </c>
      <c r="G7" s="74" t="s">
        <v>271</v>
      </c>
      <c r="H7" s="74" t="s">
        <v>41</v>
      </c>
      <c r="I7" s="74"/>
      <c r="J7" s="74"/>
      <c r="K7" s="74"/>
      <c r="L7" s="74"/>
    </row>
    <row r="8" spans="1:33" ht="15" customHeight="1" thickBot="1" x14ac:dyDescent="0.25">
      <c r="A8" s="73" t="s">
        <v>60</v>
      </c>
      <c r="B8" s="73" t="s">
        <v>49</v>
      </c>
      <c r="C8" s="73" t="s">
        <v>61</v>
      </c>
      <c r="D8" s="74" t="s">
        <v>104</v>
      </c>
      <c r="E8" s="74" t="s">
        <v>62</v>
      </c>
      <c r="F8" s="74" t="s">
        <v>46</v>
      </c>
      <c r="G8" s="74" t="s">
        <v>272</v>
      </c>
      <c r="H8" s="74" t="s">
        <v>41</v>
      </c>
      <c r="I8" s="74"/>
      <c r="J8" s="74"/>
      <c r="K8" s="74"/>
      <c r="L8" s="74"/>
    </row>
    <row r="9" spans="1:33" ht="15" customHeight="1" thickBot="1" x14ac:dyDescent="0.25">
      <c r="A9" s="73" t="s">
        <v>64</v>
      </c>
      <c r="B9" s="73" t="s">
        <v>65</v>
      </c>
      <c r="C9" s="73" t="s">
        <v>273</v>
      </c>
      <c r="D9" s="74" t="s">
        <v>67</v>
      </c>
      <c r="E9" s="74" t="s">
        <v>274</v>
      </c>
      <c r="F9" s="74" t="s">
        <v>46</v>
      </c>
      <c r="G9" s="74" t="s">
        <v>275</v>
      </c>
      <c r="H9" s="74" t="s">
        <v>41</v>
      </c>
      <c r="I9" s="74"/>
      <c r="J9" s="74"/>
      <c r="K9" s="74"/>
      <c r="L9" s="74"/>
    </row>
    <row r="10" spans="1:33" ht="15" customHeight="1" thickBot="1" x14ac:dyDescent="0.25">
      <c r="A10" s="73" t="s">
        <v>69</v>
      </c>
      <c r="B10" s="73" t="s">
        <v>70</v>
      </c>
      <c r="C10" s="73" t="s">
        <v>71</v>
      </c>
      <c r="D10" s="74" t="s">
        <v>72</v>
      </c>
      <c r="E10" s="74" t="s">
        <v>40</v>
      </c>
      <c r="F10" s="74" t="s">
        <v>46</v>
      </c>
      <c r="G10" s="74" t="s">
        <v>73</v>
      </c>
      <c r="H10" s="74" t="s">
        <v>89</v>
      </c>
      <c r="I10" s="74"/>
      <c r="J10" s="74"/>
      <c r="K10" s="74"/>
      <c r="L10" s="74"/>
    </row>
    <row r="11" spans="1:33" ht="15" customHeight="1" thickBot="1" x14ac:dyDescent="0.25">
      <c r="A11" s="73" t="s">
        <v>74</v>
      </c>
      <c r="B11" s="73" t="s">
        <v>253</v>
      </c>
      <c r="C11" s="73" t="s">
        <v>254</v>
      </c>
      <c r="D11" s="74" t="s">
        <v>67</v>
      </c>
      <c r="E11" s="74" t="s">
        <v>256</v>
      </c>
      <c r="F11" s="74" t="s">
        <v>46</v>
      </c>
      <c r="G11" s="74" t="s">
        <v>276</v>
      </c>
      <c r="H11" s="74" t="s">
        <v>54</v>
      </c>
      <c r="I11" s="74"/>
      <c r="J11" s="74"/>
      <c r="K11" s="74"/>
      <c r="L11" s="74"/>
    </row>
    <row r="12" spans="1:33" ht="27" customHeight="1" thickBot="1" x14ac:dyDescent="0.25">
      <c r="A12" s="73" t="s">
        <v>80</v>
      </c>
      <c r="B12" s="73" t="s">
        <v>75</v>
      </c>
      <c r="C12" s="73" t="s">
        <v>76</v>
      </c>
      <c r="D12" s="74" t="s">
        <v>77</v>
      </c>
      <c r="E12" s="74" t="s">
        <v>78</v>
      </c>
      <c r="F12" s="74" t="s">
        <v>46</v>
      </c>
      <c r="G12" s="74" t="s">
        <v>79</v>
      </c>
      <c r="H12" s="74" t="s">
        <v>41</v>
      </c>
      <c r="I12" s="74"/>
      <c r="J12" s="74"/>
      <c r="K12" s="74"/>
      <c r="L12" s="74"/>
    </row>
    <row r="13" spans="1:33" ht="27" customHeight="1" thickBot="1" x14ac:dyDescent="0.25">
      <c r="A13" s="73" t="s">
        <v>85</v>
      </c>
      <c r="B13" s="73" t="s">
        <v>81</v>
      </c>
      <c r="C13" s="73" t="s">
        <v>82</v>
      </c>
      <c r="D13" s="74" t="s">
        <v>72</v>
      </c>
      <c r="E13" s="74" t="s">
        <v>83</v>
      </c>
      <c r="F13" s="74" t="s">
        <v>46</v>
      </c>
      <c r="G13" s="74" t="s">
        <v>84</v>
      </c>
      <c r="H13" s="74" t="s">
        <v>37</v>
      </c>
      <c r="I13" s="74"/>
      <c r="J13" s="74"/>
      <c r="K13" s="74"/>
      <c r="L13" s="74"/>
    </row>
    <row r="14" spans="1:33" ht="15" customHeight="1" thickBot="1" x14ac:dyDescent="0.25">
      <c r="A14" s="73" t="s">
        <v>89</v>
      </c>
      <c r="B14" s="73" t="s">
        <v>90</v>
      </c>
      <c r="C14" s="73" t="s">
        <v>91</v>
      </c>
      <c r="D14" s="74" t="s">
        <v>92</v>
      </c>
      <c r="E14" s="74" t="s">
        <v>93</v>
      </c>
      <c r="F14" s="74" t="s">
        <v>46</v>
      </c>
      <c r="G14" s="74" t="s">
        <v>94</v>
      </c>
      <c r="H14" s="74" t="s">
        <v>37</v>
      </c>
      <c r="I14" s="74"/>
      <c r="J14" s="74"/>
      <c r="K14" s="74"/>
      <c r="L14" s="74"/>
    </row>
    <row r="15" spans="1:33" ht="15" customHeight="1" thickBot="1" x14ac:dyDescent="0.25">
      <c r="A15" s="73" t="s">
        <v>95</v>
      </c>
      <c r="B15" s="73" t="s">
        <v>96</v>
      </c>
      <c r="C15" s="73" t="s">
        <v>97</v>
      </c>
      <c r="D15" s="74" t="s">
        <v>98</v>
      </c>
      <c r="E15" s="74" t="s">
        <v>99</v>
      </c>
      <c r="F15" s="74" t="s">
        <v>46</v>
      </c>
      <c r="G15" s="74" t="s">
        <v>100</v>
      </c>
      <c r="H15" s="74" t="s">
        <v>41</v>
      </c>
      <c r="I15" s="74"/>
      <c r="J15" s="74"/>
      <c r="K15" s="74"/>
      <c r="L15" s="74"/>
    </row>
    <row r="16" spans="1:33" ht="27" customHeight="1" thickBot="1" x14ac:dyDescent="0.25">
      <c r="A16" s="73" t="s">
        <v>101</v>
      </c>
      <c r="B16" s="73" t="s">
        <v>277</v>
      </c>
      <c r="C16" s="73" t="s">
        <v>278</v>
      </c>
      <c r="D16" s="74" t="s">
        <v>40</v>
      </c>
      <c r="E16" s="74" t="s">
        <v>40</v>
      </c>
      <c r="F16" s="74" t="s">
        <v>46</v>
      </c>
      <c r="G16" s="74" t="s">
        <v>279</v>
      </c>
      <c r="H16" s="74" t="s">
        <v>41</v>
      </c>
      <c r="I16" s="74"/>
      <c r="J16" s="74"/>
      <c r="K16" s="74"/>
      <c r="L16" s="74"/>
    </row>
    <row r="17" spans="1:12" ht="15" customHeight="1" thickBot="1" x14ac:dyDescent="0.25">
      <c r="A17" s="73" t="s">
        <v>59</v>
      </c>
      <c r="B17" s="73" t="s">
        <v>280</v>
      </c>
      <c r="C17" s="73" t="s">
        <v>281</v>
      </c>
      <c r="D17" s="74" t="s">
        <v>282</v>
      </c>
      <c r="E17" s="74" t="s">
        <v>40</v>
      </c>
      <c r="F17" s="74" t="s">
        <v>46</v>
      </c>
      <c r="G17" s="74" t="s">
        <v>283</v>
      </c>
      <c r="H17" s="74" t="s">
        <v>37</v>
      </c>
      <c r="I17" s="74"/>
      <c r="J17" s="74"/>
      <c r="K17" s="74"/>
      <c r="L17" s="74"/>
    </row>
    <row r="18" spans="1:12" ht="15" customHeight="1" thickBot="1" x14ac:dyDescent="0.25">
      <c r="A18" s="73" t="s">
        <v>110</v>
      </c>
      <c r="B18" s="73" t="s">
        <v>106</v>
      </c>
      <c r="C18" s="73" t="s">
        <v>284</v>
      </c>
      <c r="D18" s="74" t="s">
        <v>285</v>
      </c>
      <c r="E18" s="74" t="s">
        <v>286</v>
      </c>
      <c r="F18" s="74" t="s">
        <v>46</v>
      </c>
      <c r="G18" s="74" t="s">
        <v>287</v>
      </c>
      <c r="H18" s="74" t="s">
        <v>41</v>
      </c>
      <c r="I18" s="74"/>
      <c r="J18" s="74"/>
      <c r="K18" s="74"/>
      <c r="L18" s="74"/>
    </row>
    <row r="19" spans="1:12" ht="27" customHeight="1" thickBot="1" x14ac:dyDescent="0.25">
      <c r="A19" s="73" t="s">
        <v>116</v>
      </c>
      <c r="B19" s="73" t="s">
        <v>111</v>
      </c>
      <c r="C19" s="73" t="s">
        <v>112</v>
      </c>
      <c r="D19" s="74" t="s">
        <v>113</v>
      </c>
      <c r="E19" s="74" t="s">
        <v>114</v>
      </c>
      <c r="F19" s="74" t="s">
        <v>46</v>
      </c>
      <c r="G19" s="74" t="s">
        <v>115</v>
      </c>
      <c r="H19" s="74" t="s">
        <v>41</v>
      </c>
      <c r="I19" s="74"/>
      <c r="J19" s="74"/>
      <c r="K19" s="74"/>
      <c r="L19" s="74"/>
    </row>
    <row r="20" spans="1:12" ht="27" customHeight="1" thickBot="1" x14ac:dyDescent="0.25">
      <c r="A20" s="73" t="s">
        <v>120</v>
      </c>
      <c r="B20" s="73" t="s">
        <v>111</v>
      </c>
      <c r="C20" s="73" t="s">
        <v>117</v>
      </c>
      <c r="D20" s="74" t="s">
        <v>113</v>
      </c>
      <c r="E20" s="74" t="s">
        <v>118</v>
      </c>
      <c r="F20" s="74" t="s">
        <v>46</v>
      </c>
      <c r="G20" s="74" t="s">
        <v>119</v>
      </c>
      <c r="H20" s="74" t="s">
        <v>41</v>
      </c>
      <c r="I20" s="74"/>
      <c r="J20" s="74"/>
      <c r="K20" s="74"/>
      <c r="L20" s="74"/>
    </row>
    <row r="21" spans="1:12" ht="27" customHeight="1" thickBot="1" x14ac:dyDescent="0.25">
      <c r="A21" s="73" t="s">
        <v>123</v>
      </c>
      <c r="B21" s="73" t="s">
        <v>111</v>
      </c>
      <c r="C21" s="73" t="s">
        <v>121</v>
      </c>
      <c r="D21" s="74" t="s">
        <v>113</v>
      </c>
      <c r="E21" s="74" t="s">
        <v>118</v>
      </c>
      <c r="F21" s="74" t="s">
        <v>46</v>
      </c>
      <c r="G21" s="74" t="s">
        <v>122</v>
      </c>
      <c r="H21" s="74" t="s">
        <v>41</v>
      </c>
      <c r="I21" s="74"/>
      <c r="J21" s="74"/>
      <c r="K21" s="74"/>
      <c r="L21" s="74"/>
    </row>
    <row r="22" spans="1:12" ht="27" customHeight="1" thickBot="1" x14ac:dyDescent="0.25">
      <c r="A22" s="73" t="s">
        <v>128</v>
      </c>
      <c r="B22" s="73" t="s">
        <v>124</v>
      </c>
      <c r="C22" s="73" t="s">
        <v>288</v>
      </c>
      <c r="D22" s="74" t="s">
        <v>126</v>
      </c>
      <c r="E22" s="74" t="s">
        <v>40</v>
      </c>
      <c r="F22" s="74" t="s">
        <v>46</v>
      </c>
      <c r="G22" s="74" t="s">
        <v>289</v>
      </c>
      <c r="H22" s="74" t="s">
        <v>41</v>
      </c>
      <c r="I22" s="74"/>
      <c r="J22" s="74"/>
      <c r="K22" s="74"/>
      <c r="L22" s="74"/>
    </row>
    <row r="23" spans="1:12" ht="15" customHeight="1" thickBot="1" x14ac:dyDescent="0.25">
      <c r="A23" s="73" t="s">
        <v>134</v>
      </c>
      <c r="B23" s="73" t="s">
        <v>124</v>
      </c>
      <c r="C23" s="73" t="s">
        <v>290</v>
      </c>
      <c r="D23" s="74" t="s">
        <v>126</v>
      </c>
      <c r="E23" s="74" t="s">
        <v>40</v>
      </c>
      <c r="F23" s="74" t="s">
        <v>46</v>
      </c>
      <c r="G23" s="74" t="s">
        <v>291</v>
      </c>
      <c r="H23" s="74" t="s">
        <v>41</v>
      </c>
      <c r="I23" s="74"/>
      <c r="J23" s="74"/>
      <c r="K23" s="74"/>
      <c r="L23" s="74"/>
    </row>
    <row r="24" spans="1:12" ht="15" customHeight="1" thickBot="1" x14ac:dyDescent="0.25">
      <c r="A24" s="73" t="s">
        <v>139</v>
      </c>
      <c r="B24" s="73" t="s">
        <v>292</v>
      </c>
      <c r="C24" s="73" t="s">
        <v>293</v>
      </c>
      <c r="D24" s="74" t="s">
        <v>40</v>
      </c>
      <c r="E24" s="74" t="s">
        <v>294</v>
      </c>
      <c r="F24" s="74" t="s">
        <v>46</v>
      </c>
      <c r="G24" s="74" t="s">
        <v>295</v>
      </c>
      <c r="H24" s="74" t="s">
        <v>37</v>
      </c>
      <c r="I24" s="74"/>
      <c r="J24" s="74"/>
      <c r="K24" s="74"/>
      <c r="L24" s="74"/>
    </row>
    <row r="25" spans="1:12" ht="15" customHeight="1" thickBot="1" x14ac:dyDescent="0.25">
      <c r="A25" s="73" t="s">
        <v>145</v>
      </c>
      <c r="B25" s="73" t="s">
        <v>129</v>
      </c>
      <c r="C25" s="73" t="s">
        <v>130</v>
      </c>
      <c r="D25" s="74" t="s">
        <v>40</v>
      </c>
      <c r="E25" s="74" t="s">
        <v>131</v>
      </c>
      <c r="F25" s="74" t="s">
        <v>132</v>
      </c>
      <c r="G25" s="74" t="s">
        <v>133</v>
      </c>
      <c r="H25" s="74" t="s">
        <v>37</v>
      </c>
      <c r="I25" s="74"/>
      <c r="J25" s="74"/>
      <c r="K25" s="74"/>
      <c r="L25" s="74"/>
    </row>
    <row r="26" spans="1:12" ht="15" customHeight="1" thickBot="1" x14ac:dyDescent="0.25">
      <c r="A26" s="73" t="s">
        <v>149</v>
      </c>
      <c r="B26" s="73" t="s">
        <v>135</v>
      </c>
      <c r="C26" s="73" t="s">
        <v>136</v>
      </c>
      <c r="D26" s="74" t="s">
        <v>137</v>
      </c>
      <c r="E26" s="74" t="s">
        <v>138</v>
      </c>
      <c r="F26" s="74" t="s">
        <v>132</v>
      </c>
      <c r="G26" s="74" t="s">
        <v>136</v>
      </c>
      <c r="H26" s="74" t="s">
        <v>37</v>
      </c>
      <c r="I26" s="74"/>
      <c r="J26" s="74"/>
      <c r="K26" s="74"/>
      <c r="L26" s="74"/>
    </row>
    <row r="27" spans="1:12" ht="27" customHeight="1" thickBot="1" x14ac:dyDescent="0.25">
      <c r="A27" s="73" t="s">
        <v>155</v>
      </c>
      <c r="B27" s="73" t="s">
        <v>140</v>
      </c>
      <c r="C27" s="73" t="s">
        <v>141</v>
      </c>
      <c r="D27" s="74" t="s">
        <v>142</v>
      </c>
      <c r="E27" s="74" t="s">
        <v>40</v>
      </c>
      <c r="F27" s="74" t="s">
        <v>143</v>
      </c>
      <c r="G27" s="74" t="s">
        <v>144</v>
      </c>
      <c r="H27" s="74" t="s">
        <v>37</v>
      </c>
      <c r="I27" s="74"/>
      <c r="J27" s="74"/>
      <c r="K27" s="74"/>
      <c r="L27" s="74"/>
    </row>
    <row r="28" spans="1:12" ht="15" customHeight="1" thickBot="1" x14ac:dyDescent="0.25">
      <c r="A28" s="73" t="s">
        <v>159</v>
      </c>
      <c r="B28" s="73" t="s">
        <v>150</v>
      </c>
      <c r="C28" s="73" t="s">
        <v>151</v>
      </c>
      <c r="D28" s="74" t="s">
        <v>152</v>
      </c>
      <c r="E28" s="74" t="s">
        <v>153</v>
      </c>
      <c r="F28" s="74" t="s">
        <v>143</v>
      </c>
      <c r="G28" s="74" t="s">
        <v>154</v>
      </c>
      <c r="H28" s="74" t="s">
        <v>37</v>
      </c>
      <c r="I28" s="74"/>
      <c r="J28" s="74"/>
      <c r="K28" s="74"/>
      <c r="L28" s="74"/>
    </row>
    <row r="29" spans="1:12" ht="15" customHeight="1" thickBot="1" x14ac:dyDescent="0.25">
      <c r="A29" s="73" t="s">
        <v>165</v>
      </c>
      <c r="B29" s="73" t="s">
        <v>156</v>
      </c>
      <c r="C29" s="73" t="s">
        <v>157</v>
      </c>
      <c r="D29" s="74" t="s">
        <v>40</v>
      </c>
      <c r="E29" s="74" t="s">
        <v>40</v>
      </c>
      <c r="F29" s="74" t="s">
        <v>158</v>
      </c>
      <c r="G29" s="74" t="s">
        <v>40</v>
      </c>
      <c r="H29" s="74" t="s">
        <v>37</v>
      </c>
      <c r="I29" s="74"/>
      <c r="J29" s="74"/>
      <c r="K29" s="74"/>
      <c r="L29" s="74"/>
    </row>
    <row r="30" spans="1:12" ht="15" customHeight="1" thickBot="1" x14ac:dyDescent="0.25">
      <c r="A30" s="73" t="s">
        <v>170</v>
      </c>
      <c r="B30" s="73" t="s">
        <v>160</v>
      </c>
      <c r="C30" s="73" t="s">
        <v>161</v>
      </c>
      <c r="D30" s="74" t="s">
        <v>40</v>
      </c>
      <c r="E30" s="74" t="s">
        <v>40</v>
      </c>
      <c r="F30" s="74" t="s">
        <v>162</v>
      </c>
      <c r="G30" s="74" t="s">
        <v>163</v>
      </c>
      <c r="H30" s="74" t="s">
        <v>296</v>
      </c>
      <c r="I30" s="74"/>
      <c r="J30" s="74"/>
      <c r="K30" s="74"/>
      <c r="L30" s="74"/>
    </row>
    <row r="31" spans="1:12" ht="27" customHeight="1" thickBot="1" x14ac:dyDescent="0.25">
      <c r="A31" s="73" t="s">
        <v>175</v>
      </c>
      <c r="B31" s="73" t="s">
        <v>297</v>
      </c>
      <c r="C31" s="73" t="s">
        <v>167</v>
      </c>
      <c r="D31" s="74" t="s">
        <v>40</v>
      </c>
      <c r="E31" s="74" t="s">
        <v>40</v>
      </c>
      <c r="F31" s="74" t="s">
        <v>162</v>
      </c>
      <c r="G31" s="74" t="s">
        <v>168</v>
      </c>
      <c r="H31" s="74" t="s">
        <v>298</v>
      </c>
      <c r="I31" s="74"/>
      <c r="J31" s="74"/>
      <c r="K31" s="74"/>
      <c r="L31" s="74"/>
    </row>
    <row r="32" spans="1:12" ht="27" customHeight="1" thickBot="1" x14ac:dyDescent="0.25">
      <c r="A32" s="73" t="s">
        <v>179</v>
      </c>
      <c r="B32" s="73" t="s">
        <v>171</v>
      </c>
      <c r="C32" s="73" t="s">
        <v>172</v>
      </c>
      <c r="D32" s="74" t="s">
        <v>40</v>
      </c>
      <c r="E32" s="74" t="s">
        <v>40</v>
      </c>
      <c r="F32" s="74" t="s">
        <v>162</v>
      </c>
      <c r="G32" s="74" t="s">
        <v>173</v>
      </c>
      <c r="H32" s="74" t="s">
        <v>299</v>
      </c>
      <c r="I32" s="74"/>
      <c r="J32" s="74"/>
      <c r="K32" s="74"/>
      <c r="L32" s="74"/>
    </row>
    <row r="33" spans="1:12" ht="15" customHeight="1" thickBot="1" x14ac:dyDescent="0.25">
      <c r="A33" s="73" t="s">
        <v>184</v>
      </c>
      <c r="B33" s="73" t="s">
        <v>176</v>
      </c>
      <c r="C33" s="73" t="s">
        <v>177</v>
      </c>
      <c r="D33" s="74" t="s">
        <v>40</v>
      </c>
      <c r="E33" s="74" t="s">
        <v>40</v>
      </c>
      <c r="F33" s="74" t="s">
        <v>162</v>
      </c>
      <c r="G33" s="74" t="s">
        <v>178</v>
      </c>
      <c r="H33" s="74" t="s">
        <v>300</v>
      </c>
      <c r="I33" s="74"/>
      <c r="J33" s="74"/>
      <c r="K33" s="74"/>
      <c r="L33" s="74"/>
    </row>
    <row r="34" spans="1:12" ht="15" customHeight="1" thickBot="1" x14ac:dyDescent="0.25">
      <c r="A34" s="73" t="s">
        <v>189</v>
      </c>
      <c r="B34" s="73" t="s">
        <v>180</v>
      </c>
      <c r="C34" s="73" t="s">
        <v>181</v>
      </c>
      <c r="D34" s="74" t="s">
        <v>40</v>
      </c>
      <c r="E34" s="74" t="s">
        <v>40</v>
      </c>
      <c r="F34" s="74" t="s">
        <v>162</v>
      </c>
      <c r="G34" s="74" t="s">
        <v>182</v>
      </c>
      <c r="H34" s="74" t="s">
        <v>301</v>
      </c>
      <c r="I34" s="74"/>
      <c r="J34" s="74"/>
      <c r="K34" s="74"/>
      <c r="L34" s="74"/>
    </row>
    <row r="35" spans="1:12" ht="15" customHeight="1" thickBot="1" x14ac:dyDescent="0.25">
      <c r="A35" s="73" t="s">
        <v>193</v>
      </c>
      <c r="B35" s="73" t="s">
        <v>185</v>
      </c>
      <c r="C35" s="73" t="s">
        <v>186</v>
      </c>
      <c r="D35" s="74" t="s">
        <v>40</v>
      </c>
      <c r="E35" s="74" t="s">
        <v>187</v>
      </c>
      <c r="F35" s="74" t="s">
        <v>162</v>
      </c>
      <c r="G35" s="74" t="s">
        <v>188</v>
      </c>
      <c r="H35" s="74" t="s">
        <v>123</v>
      </c>
      <c r="I35" s="74"/>
      <c r="J35" s="74"/>
      <c r="K35" s="74"/>
      <c r="L35" s="74"/>
    </row>
    <row r="36" spans="1:12" ht="15" customHeight="1" thickBot="1" x14ac:dyDescent="0.25">
      <c r="A36" s="73" t="s">
        <v>197</v>
      </c>
      <c r="B36" s="73" t="s">
        <v>190</v>
      </c>
      <c r="C36" s="73" t="s">
        <v>191</v>
      </c>
      <c r="D36" s="74" t="s">
        <v>40</v>
      </c>
      <c r="E36" s="74" t="s">
        <v>40</v>
      </c>
      <c r="F36" s="74" t="s">
        <v>162</v>
      </c>
      <c r="G36" s="74" t="s">
        <v>192</v>
      </c>
      <c r="H36" s="74" t="s">
        <v>218</v>
      </c>
      <c r="I36" s="74"/>
      <c r="J36" s="74"/>
      <c r="K36" s="74"/>
      <c r="L36" s="74"/>
    </row>
    <row r="37" spans="1:12" ht="27" customHeight="1" thickBot="1" x14ac:dyDescent="0.25">
      <c r="A37" s="73" t="s">
        <v>201</v>
      </c>
      <c r="B37" s="73" t="s">
        <v>194</v>
      </c>
      <c r="C37" s="73" t="s">
        <v>195</v>
      </c>
      <c r="D37" s="74" t="s">
        <v>40</v>
      </c>
      <c r="E37" s="74" t="s">
        <v>40</v>
      </c>
      <c r="F37" s="74" t="s">
        <v>162</v>
      </c>
      <c r="G37" s="74" t="s">
        <v>196</v>
      </c>
      <c r="H37" s="74" t="s">
        <v>134</v>
      </c>
      <c r="I37" s="74"/>
      <c r="J37" s="74"/>
      <c r="K37" s="74"/>
      <c r="L37" s="74"/>
    </row>
    <row r="38" spans="1:12" ht="15" customHeight="1" thickBot="1" x14ac:dyDescent="0.25">
      <c r="A38" s="73" t="s">
        <v>205</v>
      </c>
      <c r="B38" s="73" t="s">
        <v>198</v>
      </c>
      <c r="C38" s="73" t="s">
        <v>199</v>
      </c>
      <c r="D38" s="74" t="s">
        <v>40</v>
      </c>
      <c r="E38" s="74" t="s">
        <v>40</v>
      </c>
      <c r="F38" s="74" t="s">
        <v>162</v>
      </c>
      <c r="G38" s="74" t="s">
        <v>200</v>
      </c>
      <c r="H38" s="74" t="s">
        <v>302</v>
      </c>
      <c r="I38" s="74"/>
      <c r="J38" s="74"/>
      <c r="K38" s="74"/>
      <c r="L38" s="74"/>
    </row>
    <row r="39" spans="1:12" ht="15" customHeight="1" thickBot="1" x14ac:dyDescent="0.25">
      <c r="A39" s="73" t="s">
        <v>164</v>
      </c>
      <c r="B39" s="73" t="s">
        <v>202</v>
      </c>
      <c r="C39" s="73" t="s">
        <v>203</v>
      </c>
      <c r="D39" s="74" t="s">
        <v>40</v>
      </c>
      <c r="E39" s="74" t="s">
        <v>40</v>
      </c>
      <c r="F39" s="74" t="s">
        <v>162</v>
      </c>
      <c r="G39" s="74" t="s">
        <v>204</v>
      </c>
      <c r="H39" s="74" t="s">
        <v>37</v>
      </c>
      <c r="I39" s="74"/>
      <c r="J39" s="74"/>
      <c r="K39" s="74"/>
      <c r="L39" s="74"/>
    </row>
    <row r="40" spans="1:12" ht="15" customHeight="1" thickBot="1" x14ac:dyDescent="0.25">
      <c r="A40" s="73" t="s">
        <v>211</v>
      </c>
      <c r="B40" s="73" t="s">
        <v>206</v>
      </c>
      <c r="C40" s="73" t="s">
        <v>207</v>
      </c>
      <c r="D40" s="74" t="s">
        <v>40</v>
      </c>
      <c r="E40" s="74" t="s">
        <v>40</v>
      </c>
      <c r="F40" s="74" t="s">
        <v>162</v>
      </c>
      <c r="G40" s="74" t="s">
        <v>208</v>
      </c>
      <c r="H40" s="74" t="s">
        <v>37</v>
      </c>
      <c r="I40" s="74"/>
      <c r="J40" s="74"/>
      <c r="K40" s="74"/>
      <c r="L40" s="74"/>
    </row>
    <row r="41" spans="1:12" ht="15" customHeight="1" x14ac:dyDescent="0.2">
      <c r="A41" s="75" t="s">
        <v>216</v>
      </c>
      <c r="B41" s="75" t="s">
        <v>209</v>
      </c>
      <c r="C41" s="75" t="s">
        <v>210</v>
      </c>
      <c r="D41" s="76" t="s">
        <v>40</v>
      </c>
      <c r="E41" s="76" t="s">
        <v>40</v>
      </c>
      <c r="F41" s="76" t="s">
        <v>162</v>
      </c>
      <c r="G41" s="76" t="s">
        <v>192</v>
      </c>
      <c r="H41" s="76" t="s">
        <v>218</v>
      </c>
      <c r="I41" s="76"/>
      <c r="J41" s="76"/>
      <c r="K41" s="76"/>
      <c r="L41" s="76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/>
  <headerFooter>
    <oddHeader xml:space="preserve">&amp;L&amp;"ABB Logo,Plain"&amp;42ABB&amp;20
&amp;"Arial,Regular"&amp;11ABB Suiza SA&amp;C&amp;14Bill of Material&amp;R&amp;14
</oddHeader>
    <oddFooter>&amp;L&amp;11Prepared / M.G.P.
Approved / D.FAGIOLI&amp;R&amp;11&amp;F
Date: &amp;D &amp; =IF(0 &lt;&gt;""; Rev. ind.: 0; "")
Sheet &amp;P of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AG28"/>
  <sheetViews>
    <sheetView zoomScaleNormal="100" zoomScaleSheetLayoutView="100" workbookViewId="0">
      <pane ySplit="3" topLeftCell="A4" activePane="bottomLeft" state="frozen"/>
      <selection pane="bottomLeft"/>
    </sheetView>
  </sheetViews>
  <sheetFormatPr defaultRowHeight="12.75" x14ac:dyDescent="0.2"/>
  <cols>
    <col min="1" max="1" width="5.5703125" style="66" customWidth="1"/>
    <col min="2" max="2" width="27.140625" style="66" customWidth="1"/>
    <col min="3" max="3" width="32.5703125" style="66" customWidth="1"/>
    <col min="4" max="4" width="22.5703125" style="66" customWidth="1"/>
    <col min="5" max="5" width="22.7109375" style="66" customWidth="1"/>
    <col min="6" max="6" width="20.5703125" style="66" customWidth="1"/>
    <col min="7" max="7" width="22.5703125" style="66" customWidth="1"/>
    <col min="8" max="8" width="9.140625" style="66" customWidth="1"/>
    <col min="9" max="9" width="8.5703125" style="66" customWidth="1"/>
    <col min="10" max="10" width="17.5703125" style="66" customWidth="1"/>
    <col min="11" max="11" width="21.7109375" style="66" customWidth="1"/>
    <col min="12" max="12" width="6.5703125" style="66" customWidth="1"/>
    <col min="13" max="13" width="28.5703125" style="66" customWidth="1"/>
  </cols>
  <sheetData>
    <row r="1" spans="1:33" x14ac:dyDescent="0.2">
      <c r="C1" s="54"/>
      <c r="D1" s="66" t="s">
        <v>227</v>
      </c>
      <c r="E1" s="66">
        <v>1</v>
      </c>
    </row>
    <row r="2" spans="1:33" s="19" customFormat="1" ht="25.15" customHeight="1" x14ac:dyDescent="0.25">
      <c r="A2" s="142"/>
      <c r="B2" s="142"/>
      <c r="C2" s="142"/>
      <c r="D2" s="142"/>
      <c r="E2" s="142"/>
      <c r="F2" s="142"/>
      <c r="G2" s="142"/>
      <c r="H2" s="142"/>
      <c r="I2" s="142"/>
      <c r="J2" s="142"/>
      <c r="K2" s="49"/>
      <c r="L2" s="44"/>
      <c r="M2" s="22"/>
      <c r="N2" s="22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</row>
    <row r="3" spans="1:33" ht="36" customHeight="1" thickBot="1" x14ac:dyDescent="0.25">
      <c r="A3" s="65" t="s">
        <v>14</v>
      </c>
      <c r="B3" s="65" t="s">
        <v>0</v>
      </c>
      <c r="C3" s="65" t="s">
        <v>30</v>
      </c>
      <c r="D3" s="65" t="s">
        <v>5</v>
      </c>
      <c r="E3" s="65" t="s">
        <v>26</v>
      </c>
      <c r="F3" s="65" t="s">
        <v>31</v>
      </c>
      <c r="G3" s="65" t="s">
        <v>16</v>
      </c>
      <c r="H3" s="65" t="s">
        <v>35</v>
      </c>
      <c r="I3" s="65" t="s">
        <v>36</v>
      </c>
      <c r="J3" s="65" t="s">
        <v>33</v>
      </c>
      <c r="K3" s="65" t="s">
        <v>34</v>
      </c>
      <c r="L3" s="65" t="s">
        <v>17</v>
      </c>
    </row>
    <row r="4" spans="1:33" ht="15" customHeight="1" thickBot="1" x14ac:dyDescent="0.25">
      <c r="A4" s="73" t="s">
        <v>37</v>
      </c>
      <c r="B4" s="73" t="s">
        <v>228</v>
      </c>
      <c r="C4" s="73" t="s">
        <v>229</v>
      </c>
      <c r="D4" s="74" t="s">
        <v>40</v>
      </c>
      <c r="E4" s="74" t="s">
        <v>40</v>
      </c>
      <c r="F4" s="74" t="s">
        <v>40</v>
      </c>
      <c r="G4" s="74" t="s">
        <v>40</v>
      </c>
      <c r="H4" s="74" t="s">
        <v>41</v>
      </c>
      <c r="I4" s="74"/>
      <c r="J4" s="74"/>
      <c r="K4" s="74"/>
      <c r="L4" s="74"/>
    </row>
    <row r="5" spans="1:33" ht="15" customHeight="1" thickBot="1" x14ac:dyDescent="0.25">
      <c r="A5" s="73" t="s">
        <v>41</v>
      </c>
      <c r="B5" s="73" t="s">
        <v>38</v>
      </c>
      <c r="C5" s="73" t="s">
        <v>39</v>
      </c>
      <c r="D5" s="74" t="s">
        <v>40</v>
      </c>
      <c r="E5" s="74" t="s">
        <v>40</v>
      </c>
      <c r="F5" s="74" t="s">
        <v>40</v>
      </c>
      <c r="G5" s="74" t="s">
        <v>40</v>
      </c>
      <c r="H5" s="74" t="s">
        <v>37</v>
      </c>
      <c r="I5" s="74"/>
      <c r="J5" s="74"/>
      <c r="K5" s="74"/>
      <c r="L5" s="74"/>
    </row>
    <row r="6" spans="1:33" ht="27" customHeight="1" thickBot="1" x14ac:dyDescent="0.25">
      <c r="A6" s="73" t="s">
        <v>48</v>
      </c>
      <c r="B6" s="73" t="s">
        <v>42</v>
      </c>
      <c r="C6" s="73" t="s">
        <v>43</v>
      </c>
      <c r="D6" s="74" t="s">
        <v>44</v>
      </c>
      <c r="E6" s="74" t="s">
        <v>45</v>
      </c>
      <c r="F6" s="74" t="s">
        <v>46</v>
      </c>
      <c r="G6" s="74" t="s">
        <v>47</v>
      </c>
      <c r="H6" s="74" t="s">
        <v>48</v>
      </c>
      <c r="I6" s="74"/>
      <c r="J6" s="74"/>
      <c r="K6" s="74"/>
      <c r="L6" s="74"/>
    </row>
    <row r="7" spans="1:33" ht="27" customHeight="1" thickBot="1" x14ac:dyDescent="0.25">
      <c r="A7" s="73" t="s">
        <v>54</v>
      </c>
      <c r="B7" s="73" t="s">
        <v>75</v>
      </c>
      <c r="C7" s="73" t="s">
        <v>76</v>
      </c>
      <c r="D7" s="74" t="s">
        <v>77</v>
      </c>
      <c r="E7" s="74" t="s">
        <v>78</v>
      </c>
      <c r="F7" s="74" t="s">
        <v>46</v>
      </c>
      <c r="G7" s="74" t="s">
        <v>79</v>
      </c>
      <c r="H7" s="74" t="s">
        <v>48</v>
      </c>
      <c r="I7" s="74"/>
      <c r="J7" s="74"/>
      <c r="K7" s="74"/>
      <c r="L7" s="74"/>
    </row>
    <row r="8" spans="1:33" ht="27" customHeight="1" thickBot="1" x14ac:dyDescent="0.25">
      <c r="A8" s="73" t="s">
        <v>60</v>
      </c>
      <c r="B8" s="73" t="s">
        <v>81</v>
      </c>
      <c r="C8" s="73" t="s">
        <v>82</v>
      </c>
      <c r="D8" s="74" t="s">
        <v>72</v>
      </c>
      <c r="E8" s="74" t="s">
        <v>83</v>
      </c>
      <c r="F8" s="74" t="s">
        <v>46</v>
      </c>
      <c r="G8" s="74" t="s">
        <v>84</v>
      </c>
      <c r="H8" s="74" t="s">
        <v>37</v>
      </c>
      <c r="I8" s="74"/>
      <c r="J8" s="74"/>
      <c r="K8" s="74"/>
      <c r="L8" s="74"/>
    </row>
    <row r="9" spans="1:33" ht="27" customHeight="1" thickBot="1" x14ac:dyDescent="0.25">
      <c r="A9" s="73" t="s">
        <v>64</v>
      </c>
      <c r="B9" s="73" t="s">
        <v>258</v>
      </c>
      <c r="C9" s="73" t="s">
        <v>259</v>
      </c>
      <c r="D9" s="74" t="s">
        <v>40</v>
      </c>
      <c r="E9" s="74" t="s">
        <v>40</v>
      </c>
      <c r="F9" s="74" t="s">
        <v>46</v>
      </c>
      <c r="G9" s="74" t="s">
        <v>260</v>
      </c>
      <c r="H9" s="74" t="s">
        <v>48</v>
      </c>
      <c r="I9" s="74"/>
      <c r="J9" s="74"/>
      <c r="K9" s="74"/>
      <c r="L9" s="74"/>
    </row>
    <row r="10" spans="1:33" ht="15" customHeight="1" thickBot="1" x14ac:dyDescent="0.25">
      <c r="A10" s="73" t="s">
        <v>69</v>
      </c>
      <c r="B10" s="73" t="s">
        <v>90</v>
      </c>
      <c r="C10" s="73" t="s">
        <v>91</v>
      </c>
      <c r="D10" s="74" t="s">
        <v>92</v>
      </c>
      <c r="E10" s="74" t="s">
        <v>93</v>
      </c>
      <c r="F10" s="74" t="s">
        <v>46</v>
      </c>
      <c r="G10" s="74" t="s">
        <v>94</v>
      </c>
      <c r="H10" s="74" t="s">
        <v>37</v>
      </c>
      <c r="I10" s="74"/>
      <c r="J10" s="74"/>
      <c r="K10" s="74"/>
      <c r="L10" s="74"/>
    </row>
    <row r="11" spans="1:33" ht="15" customHeight="1" thickBot="1" x14ac:dyDescent="0.25">
      <c r="A11" s="73" t="s">
        <v>74</v>
      </c>
      <c r="B11" s="73" t="s">
        <v>96</v>
      </c>
      <c r="C11" s="73" t="s">
        <v>97</v>
      </c>
      <c r="D11" s="74" t="s">
        <v>98</v>
      </c>
      <c r="E11" s="74" t="s">
        <v>99</v>
      </c>
      <c r="F11" s="74" t="s">
        <v>46</v>
      </c>
      <c r="G11" s="74" t="s">
        <v>100</v>
      </c>
      <c r="H11" s="74" t="s">
        <v>74</v>
      </c>
      <c r="I11" s="74"/>
      <c r="J11" s="74"/>
      <c r="K11" s="74"/>
      <c r="L11" s="74"/>
    </row>
    <row r="12" spans="1:33" ht="15" customHeight="1" thickBot="1" x14ac:dyDescent="0.25">
      <c r="A12" s="73" t="s">
        <v>80</v>
      </c>
      <c r="B12" s="73" t="s">
        <v>106</v>
      </c>
      <c r="C12" s="73" t="s">
        <v>107</v>
      </c>
      <c r="D12" s="74" t="s">
        <v>108</v>
      </c>
      <c r="E12" s="74" t="s">
        <v>40</v>
      </c>
      <c r="F12" s="74" t="s">
        <v>46</v>
      </c>
      <c r="G12" s="74" t="s">
        <v>109</v>
      </c>
      <c r="H12" s="74" t="s">
        <v>48</v>
      </c>
      <c r="I12" s="74"/>
      <c r="J12" s="74"/>
      <c r="K12" s="74"/>
      <c r="L12" s="74"/>
    </row>
    <row r="13" spans="1:33" ht="27" customHeight="1" thickBot="1" x14ac:dyDescent="0.25">
      <c r="A13" s="73" t="s">
        <v>85</v>
      </c>
      <c r="B13" s="73" t="s">
        <v>111</v>
      </c>
      <c r="C13" s="73" t="s">
        <v>112</v>
      </c>
      <c r="D13" s="74" t="s">
        <v>113</v>
      </c>
      <c r="E13" s="74" t="s">
        <v>114</v>
      </c>
      <c r="F13" s="74" t="s">
        <v>46</v>
      </c>
      <c r="G13" s="74" t="s">
        <v>115</v>
      </c>
      <c r="H13" s="74" t="s">
        <v>48</v>
      </c>
      <c r="I13" s="74"/>
      <c r="J13" s="74"/>
      <c r="K13" s="74"/>
      <c r="L13" s="74"/>
    </row>
    <row r="14" spans="1:33" ht="27" customHeight="1" thickBot="1" x14ac:dyDescent="0.25">
      <c r="A14" s="73" t="s">
        <v>89</v>
      </c>
      <c r="B14" s="73" t="s">
        <v>111</v>
      </c>
      <c r="C14" s="73" t="s">
        <v>121</v>
      </c>
      <c r="D14" s="74" t="s">
        <v>113</v>
      </c>
      <c r="E14" s="74" t="s">
        <v>118</v>
      </c>
      <c r="F14" s="74" t="s">
        <v>46</v>
      </c>
      <c r="G14" s="74" t="s">
        <v>122</v>
      </c>
      <c r="H14" s="74" t="s">
        <v>48</v>
      </c>
      <c r="I14" s="74"/>
      <c r="J14" s="74"/>
      <c r="K14" s="74"/>
      <c r="L14" s="74"/>
    </row>
    <row r="15" spans="1:33" ht="15" customHeight="1" thickBot="1" x14ac:dyDescent="0.25">
      <c r="A15" s="73" t="s">
        <v>95</v>
      </c>
      <c r="B15" s="73" t="s">
        <v>124</v>
      </c>
      <c r="C15" s="73" t="s">
        <v>303</v>
      </c>
      <c r="D15" s="74" t="s">
        <v>126</v>
      </c>
      <c r="E15" s="74" t="s">
        <v>40</v>
      </c>
      <c r="F15" s="74" t="s">
        <v>46</v>
      </c>
      <c r="G15" s="74" t="s">
        <v>304</v>
      </c>
      <c r="H15" s="74" t="s">
        <v>80</v>
      </c>
      <c r="I15" s="74"/>
      <c r="J15" s="74"/>
      <c r="K15" s="74"/>
      <c r="L15" s="74"/>
    </row>
    <row r="16" spans="1:33" ht="15" customHeight="1" thickBot="1" x14ac:dyDescent="0.25">
      <c r="A16" s="73" t="s">
        <v>101</v>
      </c>
      <c r="B16" s="73" t="s">
        <v>129</v>
      </c>
      <c r="C16" s="73" t="s">
        <v>130</v>
      </c>
      <c r="D16" s="74" t="s">
        <v>40</v>
      </c>
      <c r="E16" s="74" t="s">
        <v>131</v>
      </c>
      <c r="F16" s="74" t="s">
        <v>132</v>
      </c>
      <c r="G16" s="74" t="s">
        <v>133</v>
      </c>
      <c r="H16" s="74" t="s">
        <v>37</v>
      </c>
      <c r="I16" s="74"/>
      <c r="J16" s="74"/>
      <c r="K16" s="74"/>
      <c r="L16" s="74"/>
    </row>
    <row r="17" spans="1:12" ht="15" customHeight="1" thickBot="1" x14ac:dyDescent="0.25">
      <c r="A17" s="73" t="s">
        <v>59</v>
      </c>
      <c r="B17" s="73" t="s">
        <v>135</v>
      </c>
      <c r="C17" s="73" t="s">
        <v>136</v>
      </c>
      <c r="D17" s="74" t="s">
        <v>137</v>
      </c>
      <c r="E17" s="74" t="s">
        <v>138</v>
      </c>
      <c r="F17" s="74" t="s">
        <v>132</v>
      </c>
      <c r="G17" s="74" t="s">
        <v>136</v>
      </c>
      <c r="H17" s="74" t="s">
        <v>37</v>
      </c>
      <c r="I17" s="74"/>
      <c r="J17" s="74"/>
      <c r="K17" s="74"/>
      <c r="L17" s="74"/>
    </row>
    <row r="18" spans="1:12" ht="27" customHeight="1" thickBot="1" x14ac:dyDescent="0.25">
      <c r="A18" s="73" t="s">
        <v>110</v>
      </c>
      <c r="B18" s="73" t="s">
        <v>140</v>
      </c>
      <c r="C18" s="73" t="s">
        <v>141</v>
      </c>
      <c r="D18" s="74" t="s">
        <v>142</v>
      </c>
      <c r="E18" s="74" t="s">
        <v>40</v>
      </c>
      <c r="F18" s="74" t="s">
        <v>143</v>
      </c>
      <c r="G18" s="74" t="s">
        <v>144</v>
      </c>
      <c r="H18" s="74" t="s">
        <v>37</v>
      </c>
      <c r="I18" s="74"/>
      <c r="J18" s="74"/>
      <c r="K18" s="74"/>
      <c r="L18" s="74"/>
    </row>
    <row r="19" spans="1:12" ht="15" customHeight="1" thickBot="1" x14ac:dyDescent="0.25">
      <c r="A19" s="73" t="s">
        <v>116</v>
      </c>
      <c r="B19" s="73" t="s">
        <v>150</v>
      </c>
      <c r="C19" s="73" t="s">
        <v>151</v>
      </c>
      <c r="D19" s="74" t="s">
        <v>152</v>
      </c>
      <c r="E19" s="74" t="s">
        <v>153</v>
      </c>
      <c r="F19" s="74" t="s">
        <v>143</v>
      </c>
      <c r="G19" s="74" t="s">
        <v>154</v>
      </c>
      <c r="H19" s="74" t="s">
        <v>37</v>
      </c>
      <c r="I19" s="74"/>
      <c r="J19" s="74"/>
      <c r="K19" s="74"/>
      <c r="L19" s="74"/>
    </row>
    <row r="20" spans="1:12" ht="15" customHeight="1" thickBot="1" x14ac:dyDescent="0.25">
      <c r="A20" s="73" t="s">
        <v>120</v>
      </c>
      <c r="B20" s="73" t="s">
        <v>156</v>
      </c>
      <c r="C20" s="73" t="s">
        <v>157</v>
      </c>
      <c r="D20" s="74" t="s">
        <v>40</v>
      </c>
      <c r="E20" s="74" t="s">
        <v>40</v>
      </c>
      <c r="F20" s="74" t="s">
        <v>158</v>
      </c>
      <c r="G20" s="74" t="s">
        <v>40</v>
      </c>
      <c r="H20" s="74" t="s">
        <v>37</v>
      </c>
      <c r="I20" s="74"/>
      <c r="J20" s="74"/>
      <c r="K20" s="74"/>
      <c r="L20" s="74"/>
    </row>
    <row r="21" spans="1:12" ht="27" customHeight="1" thickBot="1" x14ac:dyDescent="0.25">
      <c r="A21" s="73" t="s">
        <v>123</v>
      </c>
      <c r="B21" s="73" t="s">
        <v>166</v>
      </c>
      <c r="C21" s="73" t="s">
        <v>167</v>
      </c>
      <c r="D21" s="74" t="s">
        <v>40</v>
      </c>
      <c r="E21" s="74" t="s">
        <v>40</v>
      </c>
      <c r="F21" s="74" t="s">
        <v>162</v>
      </c>
      <c r="G21" s="74" t="s">
        <v>168</v>
      </c>
      <c r="H21" s="74" t="s">
        <v>305</v>
      </c>
      <c r="I21" s="74"/>
      <c r="J21" s="74"/>
      <c r="K21" s="74"/>
      <c r="L21" s="74"/>
    </row>
    <row r="22" spans="1:12" ht="27" customHeight="1" thickBot="1" x14ac:dyDescent="0.25">
      <c r="A22" s="73" t="s">
        <v>128</v>
      </c>
      <c r="B22" s="73" t="s">
        <v>171</v>
      </c>
      <c r="C22" s="73" t="s">
        <v>172</v>
      </c>
      <c r="D22" s="74" t="s">
        <v>40</v>
      </c>
      <c r="E22" s="74" t="s">
        <v>40</v>
      </c>
      <c r="F22" s="74" t="s">
        <v>162</v>
      </c>
      <c r="G22" s="74" t="s">
        <v>173</v>
      </c>
      <c r="H22" s="74" t="s">
        <v>306</v>
      </c>
      <c r="I22" s="74"/>
      <c r="J22" s="74"/>
      <c r="K22" s="74"/>
      <c r="L22" s="74"/>
    </row>
    <row r="23" spans="1:12" ht="15" customHeight="1" thickBot="1" x14ac:dyDescent="0.25">
      <c r="A23" s="73" t="s">
        <v>134</v>
      </c>
      <c r="B23" s="73" t="s">
        <v>180</v>
      </c>
      <c r="C23" s="73" t="s">
        <v>181</v>
      </c>
      <c r="D23" s="74" t="s">
        <v>40</v>
      </c>
      <c r="E23" s="74" t="s">
        <v>40</v>
      </c>
      <c r="F23" s="74" t="s">
        <v>162</v>
      </c>
      <c r="G23" s="74" t="s">
        <v>182</v>
      </c>
      <c r="H23" s="74" t="s">
        <v>307</v>
      </c>
      <c r="I23" s="74"/>
      <c r="J23" s="74"/>
      <c r="K23" s="74"/>
      <c r="L23" s="74"/>
    </row>
    <row r="24" spans="1:12" ht="15" customHeight="1" thickBot="1" x14ac:dyDescent="0.25">
      <c r="A24" s="73" t="s">
        <v>139</v>
      </c>
      <c r="B24" s="73" t="s">
        <v>190</v>
      </c>
      <c r="C24" s="73" t="s">
        <v>191</v>
      </c>
      <c r="D24" s="74" t="s">
        <v>40</v>
      </c>
      <c r="E24" s="74" t="s">
        <v>40</v>
      </c>
      <c r="F24" s="74" t="s">
        <v>162</v>
      </c>
      <c r="G24" s="74" t="s">
        <v>192</v>
      </c>
      <c r="H24" s="74" t="s">
        <v>197</v>
      </c>
      <c r="I24" s="74"/>
      <c r="J24" s="74"/>
      <c r="K24" s="74"/>
      <c r="L24" s="74"/>
    </row>
    <row r="25" spans="1:12" ht="27" customHeight="1" thickBot="1" x14ac:dyDescent="0.25">
      <c r="A25" s="73" t="s">
        <v>145</v>
      </c>
      <c r="B25" s="73" t="s">
        <v>194</v>
      </c>
      <c r="C25" s="73" t="s">
        <v>195</v>
      </c>
      <c r="D25" s="74" t="s">
        <v>40</v>
      </c>
      <c r="E25" s="74" t="s">
        <v>40</v>
      </c>
      <c r="F25" s="74" t="s">
        <v>162</v>
      </c>
      <c r="G25" s="74" t="s">
        <v>196</v>
      </c>
      <c r="H25" s="74" t="s">
        <v>139</v>
      </c>
      <c r="I25" s="74"/>
      <c r="J25" s="74"/>
      <c r="K25" s="74"/>
      <c r="L25" s="74"/>
    </row>
    <row r="26" spans="1:12" ht="15" customHeight="1" thickBot="1" x14ac:dyDescent="0.25">
      <c r="A26" s="73" t="s">
        <v>149</v>
      </c>
      <c r="B26" s="73" t="s">
        <v>198</v>
      </c>
      <c r="C26" s="73" t="s">
        <v>199</v>
      </c>
      <c r="D26" s="74" t="s">
        <v>40</v>
      </c>
      <c r="E26" s="74" t="s">
        <v>40</v>
      </c>
      <c r="F26" s="74" t="s">
        <v>162</v>
      </c>
      <c r="G26" s="74" t="s">
        <v>200</v>
      </c>
      <c r="H26" s="74" t="s">
        <v>298</v>
      </c>
      <c r="I26" s="74"/>
      <c r="J26" s="74"/>
      <c r="K26" s="74"/>
      <c r="L26" s="74"/>
    </row>
    <row r="27" spans="1:12" ht="15" customHeight="1" thickBot="1" x14ac:dyDescent="0.25">
      <c r="A27" s="73" t="s">
        <v>155</v>
      </c>
      <c r="B27" s="73" t="s">
        <v>206</v>
      </c>
      <c r="C27" s="73" t="s">
        <v>207</v>
      </c>
      <c r="D27" s="74" t="s">
        <v>40</v>
      </c>
      <c r="E27" s="74" t="s">
        <v>40</v>
      </c>
      <c r="F27" s="74" t="s">
        <v>162</v>
      </c>
      <c r="G27" s="74" t="s">
        <v>208</v>
      </c>
      <c r="H27" s="74" t="s">
        <v>37</v>
      </c>
      <c r="I27" s="74"/>
      <c r="J27" s="74"/>
      <c r="K27" s="74"/>
      <c r="L27" s="74"/>
    </row>
    <row r="28" spans="1:12" ht="15" customHeight="1" x14ac:dyDescent="0.2">
      <c r="A28" s="75" t="s">
        <v>159</v>
      </c>
      <c r="B28" s="75" t="s">
        <v>209</v>
      </c>
      <c r="C28" s="75" t="s">
        <v>210</v>
      </c>
      <c r="D28" s="76" t="s">
        <v>40</v>
      </c>
      <c r="E28" s="76" t="s">
        <v>40</v>
      </c>
      <c r="F28" s="76" t="s">
        <v>162</v>
      </c>
      <c r="G28" s="76" t="s">
        <v>192</v>
      </c>
      <c r="H28" s="76" t="s">
        <v>197</v>
      </c>
      <c r="I28" s="76"/>
      <c r="J28" s="76"/>
      <c r="K28" s="76"/>
      <c r="L28" s="76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/>
  <headerFooter>
    <oddHeader xml:space="preserve">&amp;L&amp;"ABB Logo,Plain"&amp;42ABB&amp;20
&amp;"Arial,Regular"&amp;11ABB Suiza SA&amp;C&amp;14Bill of Material&amp;R&amp;14
</oddHeader>
    <oddFooter>&amp;L&amp;11Prepared / M.G. PRESTA
Approved / F. DEL CARLO&amp;R&amp;11&amp;F
Date: &amp;D &amp; =IF(0 &lt;&gt;""; Rev. ind.: 0; "")
Sheet &amp;P of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AG28"/>
  <sheetViews>
    <sheetView zoomScaleNormal="100" zoomScaleSheetLayoutView="100" workbookViewId="0">
      <pane ySplit="3" topLeftCell="A4" activePane="bottomLeft" state="frozen"/>
      <selection pane="bottomLeft"/>
    </sheetView>
  </sheetViews>
  <sheetFormatPr defaultRowHeight="12.75" x14ac:dyDescent="0.2"/>
  <cols>
    <col min="1" max="1" width="5.5703125" style="66" customWidth="1"/>
    <col min="2" max="2" width="27.140625" style="66" customWidth="1"/>
    <col min="3" max="3" width="32.5703125" style="66" customWidth="1"/>
    <col min="4" max="4" width="22.5703125" style="66" customWidth="1"/>
    <col min="5" max="5" width="22.7109375" style="66" customWidth="1"/>
    <col min="6" max="6" width="20.5703125" style="66" customWidth="1"/>
    <col min="7" max="7" width="22.5703125" style="66" customWidth="1"/>
    <col min="8" max="8" width="9.140625" style="66" customWidth="1"/>
    <col min="9" max="9" width="8.5703125" style="66" customWidth="1"/>
    <col min="10" max="10" width="17.5703125" style="66" customWidth="1"/>
    <col min="11" max="11" width="21.7109375" style="66" customWidth="1"/>
    <col min="12" max="12" width="6.5703125" style="66" customWidth="1"/>
    <col min="13" max="13" width="28.5703125" style="66" customWidth="1"/>
  </cols>
  <sheetData>
    <row r="1" spans="1:33" x14ac:dyDescent="0.2">
      <c r="C1" s="54"/>
      <c r="D1" s="66" t="s">
        <v>227</v>
      </c>
      <c r="E1" s="66">
        <v>1</v>
      </c>
    </row>
    <row r="2" spans="1:33" s="19" customFormat="1" ht="25.15" customHeight="1" x14ac:dyDescent="0.25">
      <c r="A2" s="142"/>
      <c r="B2" s="142"/>
      <c r="C2" s="142"/>
      <c r="D2" s="142"/>
      <c r="E2" s="142"/>
      <c r="F2" s="142"/>
      <c r="G2" s="142"/>
      <c r="H2" s="142"/>
      <c r="I2" s="142"/>
      <c r="J2" s="142"/>
      <c r="K2" s="49"/>
      <c r="L2" s="44"/>
      <c r="M2" s="22"/>
      <c r="N2" s="22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</row>
    <row r="3" spans="1:33" ht="36" customHeight="1" thickBot="1" x14ac:dyDescent="0.25">
      <c r="A3" s="65" t="s">
        <v>14</v>
      </c>
      <c r="B3" s="65" t="s">
        <v>0</v>
      </c>
      <c r="C3" s="65" t="s">
        <v>30</v>
      </c>
      <c r="D3" s="65" t="s">
        <v>5</v>
      </c>
      <c r="E3" s="65" t="s">
        <v>26</v>
      </c>
      <c r="F3" s="65" t="s">
        <v>31</v>
      </c>
      <c r="G3" s="65" t="s">
        <v>16</v>
      </c>
      <c r="H3" s="65" t="s">
        <v>35</v>
      </c>
      <c r="I3" s="65" t="s">
        <v>36</v>
      </c>
      <c r="J3" s="65" t="s">
        <v>33</v>
      </c>
      <c r="K3" s="65" t="s">
        <v>34</v>
      </c>
      <c r="L3" s="65" t="s">
        <v>17</v>
      </c>
    </row>
    <row r="4" spans="1:33" ht="15" customHeight="1" thickBot="1" x14ac:dyDescent="0.25">
      <c r="A4" s="73" t="s">
        <v>37</v>
      </c>
      <c r="B4" s="73" t="s">
        <v>228</v>
      </c>
      <c r="C4" s="73" t="s">
        <v>229</v>
      </c>
      <c r="D4" s="74" t="s">
        <v>40</v>
      </c>
      <c r="E4" s="74" t="s">
        <v>40</v>
      </c>
      <c r="F4" s="74" t="s">
        <v>40</v>
      </c>
      <c r="G4" s="74" t="s">
        <v>40</v>
      </c>
      <c r="H4" s="74" t="s">
        <v>41</v>
      </c>
      <c r="I4" s="74"/>
      <c r="J4" s="74"/>
      <c r="K4" s="74"/>
      <c r="L4" s="74"/>
    </row>
    <row r="5" spans="1:33" ht="15" customHeight="1" thickBot="1" x14ac:dyDescent="0.25">
      <c r="A5" s="73" t="s">
        <v>41</v>
      </c>
      <c r="B5" s="73" t="s">
        <v>38</v>
      </c>
      <c r="C5" s="73" t="s">
        <v>39</v>
      </c>
      <c r="D5" s="74" t="s">
        <v>40</v>
      </c>
      <c r="E5" s="74" t="s">
        <v>40</v>
      </c>
      <c r="F5" s="74" t="s">
        <v>40</v>
      </c>
      <c r="G5" s="74" t="s">
        <v>40</v>
      </c>
      <c r="H5" s="74" t="s">
        <v>37</v>
      </c>
      <c r="I5" s="74"/>
      <c r="J5" s="74"/>
      <c r="K5" s="74"/>
      <c r="L5" s="74"/>
    </row>
    <row r="6" spans="1:33" ht="27" customHeight="1" thickBot="1" x14ac:dyDescent="0.25">
      <c r="A6" s="73" t="s">
        <v>48</v>
      </c>
      <c r="B6" s="73" t="s">
        <v>42</v>
      </c>
      <c r="C6" s="73" t="s">
        <v>43</v>
      </c>
      <c r="D6" s="74" t="s">
        <v>44</v>
      </c>
      <c r="E6" s="74" t="s">
        <v>45</v>
      </c>
      <c r="F6" s="74" t="s">
        <v>46</v>
      </c>
      <c r="G6" s="74" t="s">
        <v>47</v>
      </c>
      <c r="H6" s="74" t="s">
        <v>48</v>
      </c>
      <c r="I6" s="74"/>
      <c r="J6" s="74"/>
      <c r="K6" s="74"/>
      <c r="L6" s="74"/>
    </row>
    <row r="7" spans="1:33" ht="27" customHeight="1" thickBot="1" x14ac:dyDescent="0.25">
      <c r="A7" s="73" t="s">
        <v>54</v>
      </c>
      <c r="B7" s="73" t="s">
        <v>75</v>
      </c>
      <c r="C7" s="73" t="s">
        <v>76</v>
      </c>
      <c r="D7" s="74" t="s">
        <v>77</v>
      </c>
      <c r="E7" s="74" t="s">
        <v>78</v>
      </c>
      <c r="F7" s="74" t="s">
        <v>46</v>
      </c>
      <c r="G7" s="74" t="s">
        <v>79</v>
      </c>
      <c r="H7" s="74" t="s">
        <v>48</v>
      </c>
      <c r="I7" s="74"/>
      <c r="J7" s="74"/>
      <c r="K7" s="74"/>
      <c r="L7" s="74"/>
    </row>
    <row r="8" spans="1:33" ht="27" customHeight="1" thickBot="1" x14ac:dyDescent="0.25">
      <c r="A8" s="73" t="s">
        <v>60</v>
      </c>
      <c r="B8" s="73" t="s">
        <v>81</v>
      </c>
      <c r="C8" s="73" t="s">
        <v>82</v>
      </c>
      <c r="D8" s="74" t="s">
        <v>72</v>
      </c>
      <c r="E8" s="74" t="s">
        <v>83</v>
      </c>
      <c r="F8" s="74" t="s">
        <v>46</v>
      </c>
      <c r="G8" s="74" t="s">
        <v>84</v>
      </c>
      <c r="H8" s="74" t="s">
        <v>37</v>
      </c>
      <c r="I8" s="74"/>
      <c r="J8" s="74"/>
      <c r="K8" s="74"/>
      <c r="L8" s="74"/>
    </row>
    <row r="9" spans="1:33" ht="27" customHeight="1" thickBot="1" x14ac:dyDescent="0.25">
      <c r="A9" s="73" t="s">
        <v>64</v>
      </c>
      <c r="B9" s="73" t="s">
        <v>258</v>
      </c>
      <c r="C9" s="73" t="s">
        <v>259</v>
      </c>
      <c r="D9" s="74" t="s">
        <v>40</v>
      </c>
      <c r="E9" s="74" t="s">
        <v>40</v>
      </c>
      <c r="F9" s="74" t="s">
        <v>46</v>
      </c>
      <c r="G9" s="74" t="s">
        <v>260</v>
      </c>
      <c r="H9" s="74" t="s">
        <v>48</v>
      </c>
      <c r="I9" s="74"/>
      <c r="J9" s="74"/>
      <c r="K9" s="74"/>
      <c r="L9" s="74"/>
    </row>
    <row r="10" spans="1:33" ht="15" customHeight="1" thickBot="1" x14ac:dyDescent="0.25">
      <c r="A10" s="73" t="s">
        <v>69</v>
      </c>
      <c r="B10" s="73" t="s">
        <v>90</v>
      </c>
      <c r="C10" s="73" t="s">
        <v>91</v>
      </c>
      <c r="D10" s="74" t="s">
        <v>92</v>
      </c>
      <c r="E10" s="74" t="s">
        <v>93</v>
      </c>
      <c r="F10" s="74" t="s">
        <v>46</v>
      </c>
      <c r="G10" s="74" t="s">
        <v>94</v>
      </c>
      <c r="H10" s="74" t="s">
        <v>37</v>
      </c>
      <c r="I10" s="74"/>
      <c r="J10" s="74"/>
      <c r="K10" s="74"/>
      <c r="L10" s="74"/>
    </row>
    <row r="11" spans="1:33" ht="15" customHeight="1" thickBot="1" x14ac:dyDescent="0.25">
      <c r="A11" s="73" t="s">
        <v>74</v>
      </c>
      <c r="B11" s="73" t="s">
        <v>96</v>
      </c>
      <c r="C11" s="73" t="s">
        <v>97</v>
      </c>
      <c r="D11" s="74" t="s">
        <v>98</v>
      </c>
      <c r="E11" s="74" t="s">
        <v>99</v>
      </c>
      <c r="F11" s="74" t="s">
        <v>46</v>
      </c>
      <c r="G11" s="74" t="s">
        <v>100</v>
      </c>
      <c r="H11" s="74" t="s">
        <v>74</v>
      </c>
      <c r="I11" s="74"/>
      <c r="J11" s="74"/>
      <c r="K11" s="74"/>
      <c r="L11" s="74"/>
    </row>
    <row r="12" spans="1:33" ht="15" customHeight="1" thickBot="1" x14ac:dyDescent="0.25">
      <c r="A12" s="73" t="s">
        <v>80</v>
      </c>
      <c r="B12" s="73" t="s">
        <v>106</v>
      </c>
      <c r="C12" s="73" t="s">
        <v>107</v>
      </c>
      <c r="D12" s="74" t="s">
        <v>108</v>
      </c>
      <c r="E12" s="74" t="s">
        <v>40</v>
      </c>
      <c r="F12" s="74" t="s">
        <v>46</v>
      </c>
      <c r="G12" s="74" t="s">
        <v>109</v>
      </c>
      <c r="H12" s="74" t="s">
        <v>48</v>
      </c>
      <c r="I12" s="74"/>
      <c r="J12" s="74"/>
      <c r="K12" s="74"/>
      <c r="L12" s="74"/>
    </row>
    <row r="13" spans="1:33" ht="27" customHeight="1" thickBot="1" x14ac:dyDescent="0.25">
      <c r="A13" s="73" t="s">
        <v>85</v>
      </c>
      <c r="B13" s="73" t="s">
        <v>111</v>
      </c>
      <c r="C13" s="73" t="s">
        <v>112</v>
      </c>
      <c r="D13" s="74" t="s">
        <v>113</v>
      </c>
      <c r="E13" s="74" t="s">
        <v>114</v>
      </c>
      <c r="F13" s="74" t="s">
        <v>46</v>
      </c>
      <c r="G13" s="74" t="s">
        <v>115</v>
      </c>
      <c r="H13" s="74" t="s">
        <v>48</v>
      </c>
      <c r="I13" s="74"/>
      <c r="J13" s="74"/>
      <c r="K13" s="74"/>
      <c r="L13" s="74"/>
    </row>
    <row r="14" spans="1:33" ht="27" customHeight="1" thickBot="1" x14ac:dyDescent="0.25">
      <c r="A14" s="73" t="s">
        <v>89</v>
      </c>
      <c r="B14" s="73" t="s">
        <v>111</v>
      </c>
      <c r="C14" s="73" t="s">
        <v>121</v>
      </c>
      <c r="D14" s="74" t="s">
        <v>113</v>
      </c>
      <c r="E14" s="74" t="s">
        <v>118</v>
      </c>
      <c r="F14" s="74" t="s">
        <v>46</v>
      </c>
      <c r="G14" s="74" t="s">
        <v>122</v>
      </c>
      <c r="H14" s="74" t="s">
        <v>48</v>
      </c>
      <c r="I14" s="74"/>
      <c r="J14" s="74"/>
      <c r="K14" s="74"/>
      <c r="L14" s="74"/>
    </row>
    <row r="15" spans="1:33" ht="15" customHeight="1" thickBot="1" x14ac:dyDescent="0.25">
      <c r="A15" s="73" t="s">
        <v>95</v>
      </c>
      <c r="B15" s="73" t="s">
        <v>124</v>
      </c>
      <c r="C15" s="73" t="s">
        <v>303</v>
      </c>
      <c r="D15" s="74" t="s">
        <v>126</v>
      </c>
      <c r="E15" s="74" t="s">
        <v>40</v>
      </c>
      <c r="F15" s="74" t="s">
        <v>46</v>
      </c>
      <c r="G15" s="74" t="s">
        <v>304</v>
      </c>
      <c r="H15" s="74" t="s">
        <v>80</v>
      </c>
      <c r="I15" s="74"/>
      <c r="J15" s="74"/>
      <c r="K15" s="74"/>
      <c r="L15" s="74"/>
    </row>
    <row r="16" spans="1:33" ht="15" customHeight="1" thickBot="1" x14ac:dyDescent="0.25">
      <c r="A16" s="73" t="s">
        <v>101</v>
      </c>
      <c r="B16" s="73" t="s">
        <v>129</v>
      </c>
      <c r="C16" s="73" t="s">
        <v>130</v>
      </c>
      <c r="D16" s="74" t="s">
        <v>40</v>
      </c>
      <c r="E16" s="74" t="s">
        <v>131</v>
      </c>
      <c r="F16" s="74" t="s">
        <v>132</v>
      </c>
      <c r="G16" s="74" t="s">
        <v>133</v>
      </c>
      <c r="H16" s="74" t="s">
        <v>37</v>
      </c>
      <c r="I16" s="74"/>
      <c r="J16" s="74"/>
      <c r="K16" s="74"/>
      <c r="L16" s="74"/>
    </row>
    <row r="17" spans="1:12" ht="15" customHeight="1" thickBot="1" x14ac:dyDescent="0.25">
      <c r="A17" s="73" t="s">
        <v>59</v>
      </c>
      <c r="B17" s="73" t="s">
        <v>135</v>
      </c>
      <c r="C17" s="73" t="s">
        <v>136</v>
      </c>
      <c r="D17" s="74" t="s">
        <v>137</v>
      </c>
      <c r="E17" s="74" t="s">
        <v>138</v>
      </c>
      <c r="F17" s="74" t="s">
        <v>132</v>
      </c>
      <c r="G17" s="74" t="s">
        <v>136</v>
      </c>
      <c r="H17" s="74" t="s">
        <v>37</v>
      </c>
      <c r="I17" s="74"/>
      <c r="J17" s="74"/>
      <c r="K17" s="74"/>
      <c r="L17" s="74"/>
    </row>
    <row r="18" spans="1:12" ht="27" customHeight="1" thickBot="1" x14ac:dyDescent="0.25">
      <c r="A18" s="73" t="s">
        <v>110</v>
      </c>
      <c r="B18" s="73" t="s">
        <v>140</v>
      </c>
      <c r="C18" s="73" t="s">
        <v>141</v>
      </c>
      <c r="D18" s="74" t="s">
        <v>142</v>
      </c>
      <c r="E18" s="74" t="s">
        <v>40</v>
      </c>
      <c r="F18" s="74" t="s">
        <v>143</v>
      </c>
      <c r="G18" s="74" t="s">
        <v>144</v>
      </c>
      <c r="H18" s="74" t="s">
        <v>37</v>
      </c>
      <c r="I18" s="74"/>
      <c r="J18" s="74"/>
      <c r="K18" s="74"/>
      <c r="L18" s="74"/>
    </row>
    <row r="19" spans="1:12" ht="15" customHeight="1" thickBot="1" x14ac:dyDescent="0.25">
      <c r="A19" s="73" t="s">
        <v>116</v>
      </c>
      <c r="B19" s="73" t="s">
        <v>150</v>
      </c>
      <c r="C19" s="73" t="s">
        <v>151</v>
      </c>
      <c r="D19" s="74" t="s">
        <v>152</v>
      </c>
      <c r="E19" s="74" t="s">
        <v>153</v>
      </c>
      <c r="F19" s="74" t="s">
        <v>143</v>
      </c>
      <c r="G19" s="74" t="s">
        <v>154</v>
      </c>
      <c r="H19" s="74" t="s">
        <v>37</v>
      </c>
      <c r="I19" s="74"/>
      <c r="J19" s="74"/>
      <c r="K19" s="74"/>
      <c r="L19" s="74"/>
    </row>
    <row r="20" spans="1:12" ht="15" customHeight="1" thickBot="1" x14ac:dyDescent="0.25">
      <c r="A20" s="73" t="s">
        <v>120</v>
      </c>
      <c r="B20" s="73" t="s">
        <v>156</v>
      </c>
      <c r="C20" s="73" t="s">
        <v>157</v>
      </c>
      <c r="D20" s="74" t="s">
        <v>40</v>
      </c>
      <c r="E20" s="74" t="s">
        <v>40</v>
      </c>
      <c r="F20" s="74" t="s">
        <v>158</v>
      </c>
      <c r="G20" s="74" t="s">
        <v>40</v>
      </c>
      <c r="H20" s="74" t="s">
        <v>37</v>
      </c>
      <c r="I20" s="74"/>
      <c r="J20" s="74"/>
      <c r="K20" s="74"/>
      <c r="L20" s="74"/>
    </row>
    <row r="21" spans="1:12" ht="27" customHeight="1" thickBot="1" x14ac:dyDescent="0.25">
      <c r="A21" s="73" t="s">
        <v>123</v>
      </c>
      <c r="B21" s="73" t="s">
        <v>166</v>
      </c>
      <c r="C21" s="73" t="s">
        <v>167</v>
      </c>
      <c r="D21" s="74" t="s">
        <v>40</v>
      </c>
      <c r="E21" s="74" t="s">
        <v>40</v>
      </c>
      <c r="F21" s="74" t="s">
        <v>162</v>
      </c>
      <c r="G21" s="74" t="s">
        <v>168</v>
      </c>
      <c r="H21" s="74" t="s">
        <v>308</v>
      </c>
      <c r="I21" s="74"/>
      <c r="J21" s="74"/>
      <c r="K21" s="74"/>
      <c r="L21" s="74"/>
    </row>
    <row r="22" spans="1:12" ht="27" customHeight="1" thickBot="1" x14ac:dyDescent="0.25">
      <c r="A22" s="73" t="s">
        <v>128</v>
      </c>
      <c r="B22" s="73" t="s">
        <v>171</v>
      </c>
      <c r="C22" s="73" t="s">
        <v>172</v>
      </c>
      <c r="D22" s="74" t="s">
        <v>40</v>
      </c>
      <c r="E22" s="74" t="s">
        <v>40</v>
      </c>
      <c r="F22" s="74" t="s">
        <v>162</v>
      </c>
      <c r="G22" s="74" t="s">
        <v>173</v>
      </c>
      <c r="H22" s="74" t="s">
        <v>306</v>
      </c>
      <c r="I22" s="74"/>
      <c r="J22" s="74"/>
      <c r="K22" s="74"/>
      <c r="L22" s="74"/>
    </row>
    <row r="23" spans="1:12" ht="15" customHeight="1" thickBot="1" x14ac:dyDescent="0.25">
      <c r="A23" s="73" t="s">
        <v>134</v>
      </c>
      <c r="B23" s="73" t="s">
        <v>180</v>
      </c>
      <c r="C23" s="73" t="s">
        <v>181</v>
      </c>
      <c r="D23" s="74" t="s">
        <v>40</v>
      </c>
      <c r="E23" s="74" t="s">
        <v>40</v>
      </c>
      <c r="F23" s="74" t="s">
        <v>162</v>
      </c>
      <c r="G23" s="74" t="s">
        <v>182</v>
      </c>
      <c r="H23" s="74" t="s">
        <v>309</v>
      </c>
      <c r="I23" s="74"/>
      <c r="J23" s="74"/>
      <c r="K23" s="74"/>
      <c r="L23" s="74"/>
    </row>
    <row r="24" spans="1:12" ht="15" customHeight="1" thickBot="1" x14ac:dyDescent="0.25">
      <c r="A24" s="73" t="s">
        <v>139</v>
      </c>
      <c r="B24" s="73" t="s">
        <v>190</v>
      </c>
      <c r="C24" s="73" t="s">
        <v>191</v>
      </c>
      <c r="D24" s="74" t="s">
        <v>40</v>
      </c>
      <c r="E24" s="74" t="s">
        <v>40</v>
      </c>
      <c r="F24" s="74" t="s">
        <v>162</v>
      </c>
      <c r="G24" s="74" t="s">
        <v>192</v>
      </c>
      <c r="H24" s="74" t="s">
        <v>197</v>
      </c>
      <c r="I24" s="74"/>
      <c r="J24" s="74"/>
      <c r="K24" s="74"/>
      <c r="L24" s="74"/>
    </row>
    <row r="25" spans="1:12" ht="27" customHeight="1" thickBot="1" x14ac:dyDescent="0.25">
      <c r="A25" s="73" t="s">
        <v>145</v>
      </c>
      <c r="B25" s="73" t="s">
        <v>194</v>
      </c>
      <c r="C25" s="73" t="s">
        <v>195</v>
      </c>
      <c r="D25" s="74" t="s">
        <v>40</v>
      </c>
      <c r="E25" s="74" t="s">
        <v>40</v>
      </c>
      <c r="F25" s="74" t="s">
        <v>162</v>
      </c>
      <c r="G25" s="74" t="s">
        <v>196</v>
      </c>
      <c r="H25" s="74" t="s">
        <v>175</v>
      </c>
      <c r="I25" s="74"/>
      <c r="J25" s="74"/>
      <c r="K25" s="74"/>
      <c r="L25" s="74"/>
    </row>
    <row r="26" spans="1:12" ht="15" customHeight="1" thickBot="1" x14ac:dyDescent="0.25">
      <c r="A26" s="73" t="s">
        <v>149</v>
      </c>
      <c r="B26" s="73" t="s">
        <v>198</v>
      </c>
      <c r="C26" s="73" t="s">
        <v>199</v>
      </c>
      <c r="D26" s="74" t="s">
        <v>40</v>
      </c>
      <c r="E26" s="74" t="s">
        <v>40</v>
      </c>
      <c r="F26" s="74" t="s">
        <v>162</v>
      </c>
      <c r="G26" s="74" t="s">
        <v>200</v>
      </c>
      <c r="H26" s="74" t="s">
        <v>298</v>
      </c>
      <c r="I26" s="74"/>
      <c r="J26" s="74"/>
      <c r="K26" s="74"/>
      <c r="L26" s="74"/>
    </row>
    <row r="27" spans="1:12" ht="15" customHeight="1" thickBot="1" x14ac:dyDescent="0.25">
      <c r="A27" s="73" t="s">
        <v>155</v>
      </c>
      <c r="B27" s="73" t="s">
        <v>206</v>
      </c>
      <c r="C27" s="73" t="s">
        <v>207</v>
      </c>
      <c r="D27" s="74" t="s">
        <v>40</v>
      </c>
      <c r="E27" s="74" t="s">
        <v>40</v>
      </c>
      <c r="F27" s="74" t="s">
        <v>162</v>
      </c>
      <c r="G27" s="74" t="s">
        <v>208</v>
      </c>
      <c r="H27" s="74" t="s">
        <v>37</v>
      </c>
      <c r="I27" s="74"/>
      <c r="J27" s="74"/>
      <c r="K27" s="74"/>
      <c r="L27" s="74"/>
    </row>
    <row r="28" spans="1:12" ht="15" customHeight="1" x14ac:dyDescent="0.2">
      <c r="A28" s="75" t="s">
        <v>159</v>
      </c>
      <c r="B28" s="75" t="s">
        <v>209</v>
      </c>
      <c r="C28" s="75" t="s">
        <v>210</v>
      </c>
      <c r="D28" s="76" t="s">
        <v>40</v>
      </c>
      <c r="E28" s="76" t="s">
        <v>40</v>
      </c>
      <c r="F28" s="76" t="s">
        <v>162</v>
      </c>
      <c r="G28" s="76" t="s">
        <v>192</v>
      </c>
      <c r="H28" s="76" t="s">
        <v>197</v>
      </c>
      <c r="I28" s="76"/>
      <c r="J28" s="76"/>
      <c r="K28" s="76"/>
      <c r="L28" s="76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/>
  <headerFooter>
    <oddHeader xml:space="preserve">&amp;L&amp;"ABB Logo,Plain"&amp;42ABB&amp;20
&amp;"Arial,Regular"&amp;11ABB Suiza SA&amp;C&amp;14Bill of Material&amp;R&amp;14
</oddHeader>
    <oddFooter>&amp;L&amp;11Prepared / M.G. PRESTA
Approved / F. DEL CARLO&amp;R&amp;11&amp;F
Date: &amp;D &amp; =IF(0 &lt;&gt;""; Rev. ind.: 0; "")
Sheet &amp;P of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AG29"/>
  <sheetViews>
    <sheetView zoomScaleNormal="100" zoomScaleSheetLayoutView="100" workbookViewId="0">
      <pane ySplit="3" topLeftCell="A4" activePane="bottomLeft" state="frozen"/>
      <selection pane="bottomLeft"/>
    </sheetView>
  </sheetViews>
  <sheetFormatPr defaultRowHeight="12.75" x14ac:dyDescent="0.2"/>
  <cols>
    <col min="1" max="1" width="5.5703125" style="66" customWidth="1"/>
    <col min="2" max="2" width="27.140625" style="66" customWidth="1"/>
    <col min="3" max="3" width="32.5703125" style="66" customWidth="1"/>
    <col min="4" max="4" width="22.5703125" style="66" customWidth="1"/>
    <col min="5" max="5" width="22.7109375" style="66" customWidth="1"/>
    <col min="6" max="6" width="20.5703125" style="66" customWidth="1"/>
    <col min="7" max="7" width="22.5703125" style="66" customWidth="1"/>
    <col min="8" max="8" width="9.140625" style="66" customWidth="1"/>
    <col min="9" max="9" width="8.5703125" style="66" customWidth="1"/>
    <col min="10" max="10" width="17.5703125" style="66" customWidth="1"/>
    <col min="11" max="11" width="21.7109375" style="66" customWidth="1"/>
    <col min="12" max="12" width="6.5703125" style="66" customWidth="1"/>
    <col min="13" max="13" width="28.5703125" style="66" customWidth="1"/>
  </cols>
  <sheetData>
    <row r="1" spans="1:33" x14ac:dyDescent="0.2">
      <c r="C1" s="54"/>
      <c r="D1" s="66" t="s">
        <v>227</v>
      </c>
      <c r="E1" s="66">
        <v>1</v>
      </c>
    </row>
    <row r="2" spans="1:33" s="19" customFormat="1" ht="25.15" customHeight="1" x14ac:dyDescent="0.25">
      <c r="A2" s="142"/>
      <c r="B2" s="142"/>
      <c r="C2" s="142"/>
      <c r="D2" s="142"/>
      <c r="E2" s="142"/>
      <c r="F2" s="142"/>
      <c r="G2" s="142"/>
      <c r="H2" s="142"/>
      <c r="I2" s="142"/>
      <c r="J2" s="142"/>
      <c r="K2" s="49"/>
      <c r="L2" s="44"/>
      <c r="M2" s="22"/>
      <c r="N2" s="22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</row>
    <row r="3" spans="1:33" ht="36" customHeight="1" thickBot="1" x14ac:dyDescent="0.25">
      <c r="A3" s="65" t="s">
        <v>14</v>
      </c>
      <c r="B3" s="65" t="s">
        <v>0</v>
      </c>
      <c r="C3" s="65" t="s">
        <v>30</v>
      </c>
      <c r="D3" s="65" t="s">
        <v>5</v>
      </c>
      <c r="E3" s="65" t="s">
        <v>26</v>
      </c>
      <c r="F3" s="65" t="s">
        <v>31</v>
      </c>
      <c r="G3" s="65" t="s">
        <v>16</v>
      </c>
      <c r="H3" s="65" t="s">
        <v>35</v>
      </c>
      <c r="I3" s="65" t="s">
        <v>36</v>
      </c>
      <c r="J3" s="65" t="s">
        <v>33</v>
      </c>
      <c r="K3" s="65" t="s">
        <v>34</v>
      </c>
      <c r="L3" s="65" t="s">
        <v>17</v>
      </c>
    </row>
    <row r="4" spans="1:33" ht="15" customHeight="1" thickBot="1" x14ac:dyDescent="0.25">
      <c r="A4" s="73" t="s">
        <v>37</v>
      </c>
      <c r="B4" s="73" t="s">
        <v>228</v>
      </c>
      <c r="C4" s="73" t="s">
        <v>229</v>
      </c>
      <c r="D4" s="74" t="s">
        <v>40</v>
      </c>
      <c r="E4" s="74" t="s">
        <v>40</v>
      </c>
      <c r="F4" s="74" t="s">
        <v>40</v>
      </c>
      <c r="G4" s="74" t="s">
        <v>40</v>
      </c>
      <c r="H4" s="74" t="s">
        <v>41</v>
      </c>
      <c r="I4" s="74"/>
      <c r="J4" s="74"/>
      <c r="K4" s="74"/>
      <c r="L4" s="74"/>
    </row>
    <row r="5" spans="1:33" ht="15" customHeight="1" thickBot="1" x14ac:dyDescent="0.25">
      <c r="A5" s="73" t="s">
        <v>41</v>
      </c>
      <c r="B5" s="73" t="s">
        <v>38</v>
      </c>
      <c r="C5" s="73" t="s">
        <v>39</v>
      </c>
      <c r="D5" s="74" t="s">
        <v>40</v>
      </c>
      <c r="E5" s="74" t="s">
        <v>40</v>
      </c>
      <c r="F5" s="74" t="s">
        <v>40</v>
      </c>
      <c r="G5" s="74" t="s">
        <v>40</v>
      </c>
      <c r="H5" s="74" t="s">
        <v>37</v>
      </c>
      <c r="I5" s="74"/>
      <c r="J5" s="74"/>
      <c r="K5" s="74"/>
      <c r="L5" s="74"/>
    </row>
    <row r="6" spans="1:33" ht="27" customHeight="1" thickBot="1" x14ac:dyDescent="0.25">
      <c r="A6" s="73" t="s">
        <v>48</v>
      </c>
      <c r="B6" s="73" t="s">
        <v>42</v>
      </c>
      <c r="C6" s="73" t="s">
        <v>43</v>
      </c>
      <c r="D6" s="74" t="s">
        <v>44</v>
      </c>
      <c r="E6" s="74" t="s">
        <v>45</v>
      </c>
      <c r="F6" s="74" t="s">
        <v>46</v>
      </c>
      <c r="G6" s="74" t="s">
        <v>47</v>
      </c>
      <c r="H6" s="74" t="s">
        <v>37</v>
      </c>
      <c r="I6" s="74"/>
      <c r="J6" s="74"/>
      <c r="K6" s="74"/>
      <c r="L6" s="74"/>
    </row>
    <row r="7" spans="1:33" ht="27" customHeight="1" thickBot="1" x14ac:dyDescent="0.25">
      <c r="A7" s="73" t="s">
        <v>54</v>
      </c>
      <c r="B7" s="73" t="s">
        <v>75</v>
      </c>
      <c r="C7" s="73" t="s">
        <v>76</v>
      </c>
      <c r="D7" s="74" t="s">
        <v>77</v>
      </c>
      <c r="E7" s="74" t="s">
        <v>78</v>
      </c>
      <c r="F7" s="74" t="s">
        <v>46</v>
      </c>
      <c r="G7" s="74" t="s">
        <v>79</v>
      </c>
      <c r="H7" s="74" t="s">
        <v>37</v>
      </c>
      <c r="I7" s="74"/>
      <c r="J7" s="74"/>
      <c r="K7" s="74"/>
      <c r="L7" s="74"/>
    </row>
    <row r="8" spans="1:33" ht="27" customHeight="1" thickBot="1" x14ac:dyDescent="0.25">
      <c r="A8" s="73" t="s">
        <v>60</v>
      </c>
      <c r="B8" s="73" t="s">
        <v>81</v>
      </c>
      <c r="C8" s="73" t="s">
        <v>82</v>
      </c>
      <c r="D8" s="74" t="s">
        <v>72</v>
      </c>
      <c r="E8" s="74" t="s">
        <v>83</v>
      </c>
      <c r="F8" s="74" t="s">
        <v>46</v>
      </c>
      <c r="G8" s="74" t="s">
        <v>84</v>
      </c>
      <c r="H8" s="74" t="s">
        <v>37</v>
      </c>
      <c r="I8" s="74"/>
      <c r="J8" s="74"/>
      <c r="K8" s="74"/>
      <c r="L8" s="74"/>
    </row>
    <row r="9" spans="1:33" ht="27" customHeight="1" thickBot="1" x14ac:dyDescent="0.25">
      <c r="A9" s="73" t="s">
        <v>64</v>
      </c>
      <c r="B9" s="73" t="s">
        <v>258</v>
      </c>
      <c r="C9" s="73" t="s">
        <v>259</v>
      </c>
      <c r="D9" s="74" t="s">
        <v>40</v>
      </c>
      <c r="E9" s="74" t="s">
        <v>40</v>
      </c>
      <c r="F9" s="74" t="s">
        <v>46</v>
      </c>
      <c r="G9" s="74" t="s">
        <v>260</v>
      </c>
      <c r="H9" s="74" t="s">
        <v>37</v>
      </c>
      <c r="I9" s="74"/>
      <c r="J9" s="74"/>
      <c r="K9" s="74"/>
      <c r="L9" s="74"/>
    </row>
    <row r="10" spans="1:33" ht="15" customHeight="1" thickBot="1" x14ac:dyDescent="0.25">
      <c r="A10" s="73" t="s">
        <v>69</v>
      </c>
      <c r="B10" s="73" t="s">
        <v>90</v>
      </c>
      <c r="C10" s="73" t="s">
        <v>91</v>
      </c>
      <c r="D10" s="74" t="s">
        <v>92</v>
      </c>
      <c r="E10" s="74" t="s">
        <v>93</v>
      </c>
      <c r="F10" s="74" t="s">
        <v>46</v>
      </c>
      <c r="G10" s="74" t="s">
        <v>94</v>
      </c>
      <c r="H10" s="74" t="s">
        <v>37</v>
      </c>
      <c r="I10" s="74"/>
      <c r="J10" s="74"/>
      <c r="K10" s="74"/>
      <c r="L10" s="74"/>
    </row>
    <row r="11" spans="1:33" ht="15" customHeight="1" thickBot="1" x14ac:dyDescent="0.25">
      <c r="A11" s="73" t="s">
        <v>74</v>
      </c>
      <c r="B11" s="73" t="s">
        <v>96</v>
      </c>
      <c r="C11" s="73" t="s">
        <v>97</v>
      </c>
      <c r="D11" s="74" t="s">
        <v>98</v>
      </c>
      <c r="E11" s="74" t="s">
        <v>99</v>
      </c>
      <c r="F11" s="74" t="s">
        <v>46</v>
      </c>
      <c r="G11" s="74" t="s">
        <v>100</v>
      </c>
      <c r="H11" s="74" t="s">
        <v>54</v>
      </c>
      <c r="I11" s="74"/>
      <c r="J11" s="74"/>
      <c r="K11" s="74"/>
      <c r="L11" s="74"/>
    </row>
    <row r="12" spans="1:33" ht="15" customHeight="1" thickBot="1" x14ac:dyDescent="0.25">
      <c r="A12" s="73" t="s">
        <v>80</v>
      </c>
      <c r="B12" s="73" t="s">
        <v>106</v>
      </c>
      <c r="C12" s="73" t="s">
        <v>107</v>
      </c>
      <c r="D12" s="74" t="s">
        <v>108</v>
      </c>
      <c r="E12" s="74" t="s">
        <v>40</v>
      </c>
      <c r="F12" s="74" t="s">
        <v>46</v>
      </c>
      <c r="G12" s="74" t="s">
        <v>109</v>
      </c>
      <c r="H12" s="74" t="s">
        <v>37</v>
      </c>
      <c r="I12" s="74"/>
      <c r="J12" s="74"/>
      <c r="K12" s="74"/>
      <c r="L12" s="74"/>
    </row>
    <row r="13" spans="1:33" ht="27" customHeight="1" thickBot="1" x14ac:dyDescent="0.25">
      <c r="A13" s="73" t="s">
        <v>85</v>
      </c>
      <c r="B13" s="73" t="s">
        <v>111</v>
      </c>
      <c r="C13" s="73" t="s">
        <v>112</v>
      </c>
      <c r="D13" s="74" t="s">
        <v>113</v>
      </c>
      <c r="E13" s="74" t="s">
        <v>114</v>
      </c>
      <c r="F13" s="74" t="s">
        <v>46</v>
      </c>
      <c r="G13" s="74" t="s">
        <v>115</v>
      </c>
      <c r="H13" s="74" t="s">
        <v>37</v>
      </c>
      <c r="I13" s="74"/>
      <c r="J13" s="74"/>
      <c r="K13" s="74"/>
      <c r="L13" s="74"/>
    </row>
    <row r="14" spans="1:33" ht="27" customHeight="1" thickBot="1" x14ac:dyDescent="0.25">
      <c r="A14" s="73" t="s">
        <v>89</v>
      </c>
      <c r="B14" s="73" t="s">
        <v>111</v>
      </c>
      <c r="C14" s="73" t="s">
        <v>121</v>
      </c>
      <c r="D14" s="74" t="s">
        <v>113</v>
      </c>
      <c r="E14" s="74" t="s">
        <v>118</v>
      </c>
      <c r="F14" s="74" t="s">
        <v>46</v>
      </c>
      <c r="G14" s="74" t="s">
        <v>122</v>
      </c>
      <c r="H14" s="74" t="s">
        <v>37</v>
      </c>
      <c r="I14" s="74"/>
      <c r="J14" s="74"/>
      <c r="K14" s="74"/>
      <c r="L14" s="74"/>
    </row>
    <row r="15" spans="1:33" ht="15" customHeight="1" thickBot="1" x14ac:dyDescent="0.25">
      <c r="A15" s="73" t="s">
        <v>95</v>
      </c>
      <c r="B15" s="73" t="s">
        <v>124</v>
      </c>
      <c r="C15" s="73" t="s">
        <v>310</v>
      </c>
      <c r="D15" s="74" t="s">
        <v>126</v>
      </c>
      <c r="E15" s="74" t="s">
        <v>40</v>
      </c>
      <c r="F15" s="74" t="s">
        <v>46</v>
      </c>
      <c r="G15" s="74" t="s">
        <v>311</v>
      </c>
      <c r="H15" s="74" t="s">
        <v>41</v>
      </c>
      <c r="I15" s="74"/>
      <c r="J15" s="74"/>
      <c r="K15" s="74"/>
      <c r="L15" s="74"/>
    </row>
    <row r="16" spans="1:33" ht="15" customHeight="1" thickBot="1" x14ac:dyDescent="0.25">
      <c r="A16" s="73" t="s">
        <v>101</v>
      </c>
      <c r="B16" s="73" t="s">
        <v>129</v>
      </c>
      <c r="C16" s="73" t="s">
        <v>130</v>
      </c>
      <c r="D16" s="74" t="s">
        <v>40</v>
      </c>
      <c r="E16" s="74" t="s">
        <v>131</v>
      </c>
      <c r="F16" s="74" t="s">
        <v>132</v>
      </c>
      <c r="G16" s="74" t="s">
        <v>133</v>
      </c>
      <c r="H16" s="74" t="s">
        <v>37</v>
      </c>
      <c r="I16" s="74"/>
      <c r="J16" s="74"/>
      <c r="K16" s="74"/>
      <c r="L16" s="74"/>
    </row>
    <row r="17" spans="1:12" ht="15" customHeight="1" thickBot="1" x14ac:dyDescent="0.25">
      <c r="A17" s="73" t="s">
        <v>59</v>
      </c>
      <c r="B17" s="73" t="s">
        <v>135</v>
      </c>
      <c r="C17" s="73" t="s">
        <v>136</v>
      </c>
      <c r="D17" s="74" t="s">
        <v>137</v>
      </c>
      <c r="E17" s="74" t="s">
        <v>138</v>
      </c>
      <c r="F17" s="74" t="s">
        <v>132</v>
      </c>
      <c r="G17" s="74" t="s">
        <v>136</v>
      </c>
      <c r="H17" s="74" t="s">
        <v>37</v>
      </c>
      <c r="I17" s="74"/>
      <c r="J17" s="74"/>
      <c r="K17" s="74"/>
      <c r="L17" s="74"/>
    </row>
    <row r="18" spans="1:12" ht="27" customHeight="1" thickBot="1" x14ac:dyDescent="0.25">
      <c r="A18" s="73" t="s">
        <v>110</v>
      </c>
      <c r="B18" s="73" t="s">
        <v>140</v>
      </c>
      <c r="C18" s="73" t="s">
        <v>141</v>
      </c>
      <c r="D18" s="74" t="s">
        <v>142</v>
      </c>
      <c r="E18" s="74" t="s">
        <v>40</v>
      </c>
      <c r="F18" s="74" t="s">
        <v>143</v>
      </c>
      <c r="G18" s="74" t="s">
        <v>144</v>
      </c>
      <c r="H18" s="74" t="s">
        <v>37</v>
      </c>
      <c r="I18" s="74"/>
      <c r="J18" s="74"/>
      <c r="K18" s="74"/>
      <c r="L18" s="74"/>
    </row>
    <row r="19" spans="1:12" ht="15" customHeight="1" thickBot="1" x14ac:dyDescent="0.25">
      <c r="A19" s="73" t="s">
        <v>116</v>
      </c>
      <c r="B19" s="73" t="s">
        <v>150</v>
      </c>
      <c r="C19" s="73" t="s">
        <v>151</v>
      </c>
      <c r="D19" s="74" t="s">
        <v>152</v>
      </c>
      <c r="E19" s="74" t="s">
        <v>153</v>
      </c>
      <c r="F19" s="74" t="s">
        <v>143</v>
      </c>
      <c r="G19" s="74" t="s">
        <v>154</v>
      </c>
      <c r="H19" s="74" t="s">
        <v>37</v>
      </c>
      <c r="I19" s="74"/>
      <c r="J19" s="74"/>
      <c r="K19" s="74"/>
      <c r="L19" s="74"/>
    </row>
    <row r="20" spans="1:12" ht="15" customHeight="1" thickBot="1" x14ac:dyDescent="0.25">
      <c r="A20" s="73" t="s">
        <v>120</v>
      </c>
      <c r="B20" s="73" t="s">
        <v>156</v>
      </c>
      <c r="C20" s="73" t="s">
        <v>157</v>
      </c>
      <c r="D20" s="74" t="s">
        <v>40</v>
      </c>
      <c r="E20" s="74" t="s">
        <v>40</v>
      </c>
      <c r="F20" s="74" t="s">
        <v>158</v>
      </c>
      <c r="G20" s="74" t="s">
        <v>40</v>
      </c>
      <c r="H20" s="74" t="s">
        <v>37</v>
      </c>
      <c r="I20" s="74"/>
      <c r="J20" s="74"/>
      <c r="K20" s="74"/>
      <c r="L20" s="74"/>
    </row>
    <row r="21" spans="1:12" ht="27" customHeight="1" thickBot="1" x14ac:dyDescent="0.25">
      <c r="A21" s="73" t="s">
        <v>123</v>
      </c>
      <c r="B21" s="73" t="s">
        <v>166</v>
      </c>
      <c r="C21" s="73" t="s">
        <v>167</v>
      </c>
      <c r="D21" s="74" t="s">
        <v>40</v>
      </c>
      <c r="E21" s="74" t="s">
        <v>40</v>
      </c>
      <c r="F21" s="74" t="s">
        <v>162</v>
      </c>
      <c r="G21" s="74" t="s">
        <v>168</v>
      </c>
      <c r="H21" s="74" t="s">
        <v>312</v>
      </c>
      <c r="I21" s="74"/>
      <c r="J21" s="74"/>
      <c r="K21" s="74"/>
      <c r="L21" s="74"/>
    </row>
    <row r="22" spans="1:12" ht="27" customHeight="1" thickBot="1" x14ac:dyDescent="0.25">
      <c r="A22" s="73" t="s">
        <v>128</v>
      </c>
      <c r="B22" s="73" t="s">
        <v>171</v>
      </c>
      <c r="C22" s="73" t="s">
        <v>172</v>
      </c>
      <c r="D22" s="74" t="s">
        <v>40</v>
      </c>
      <c r="E22" s="74" t="s">
        <v>40</v>
      </c>
      <c r="F22" s="74" t="s">
        <v>162</v>
      </c>
      <c r="G22" s="74" t="s">
        <v>173</v>
      </c>
      <c r="H22" s="74" t="s">
        <v>264</v>
      </c>
      <c r="I22" s="74"/>
      <c r="J22" s="74"/>
      <c r="K22" s="74"/>
      <c r="L22" s="74"/>
    </row>
    <row r="23" spans="1:12" ht="15" customHeight="1" thickBot="1" x14ac:dyDescent="0.25">
      <c r="A23" s="73" t="s">
        <v>134</v>
      </c>
      <c r="B23" s="73" t="s">
        <v>180</v>
      </c>
      <c r="C23" s="73" t="s">
        <v>181</v>
      </c>
      <c r="D23" s="74" t="s">
        <v>40</v>
      </c>
      <c r="E23" s="74" t="s">
        <v>40</v>
      </c>
      <c r="F23" s="74" t="s">
        <v>162</v>
      </c>
      <c r="G23" s="74" t="s">
        <v>182</v>
      </c>
      <c r="H23" s="74" t="s">
        <v>313</v>
      </c>
      <c r="I23" s="74"/>
      <c r="J23" s="74"/>
      <c r="K23" s="74"/>
      <c r="L23" s="74"/>
    </row>
    <row r="24" spans="1:12" ht="15" customHeight="1" thickBot="1" x14ac:dyDescent="0.25">
      <c r="A24" s="73" t="s">
        <v>139</v>
      </c>
      <c r="B24" s="73" t="s">
        <v>185</v>
      </c>
      <c r="C24" s="73" t="s">
        <v>186</v>
      </c>
      <c r="D24" s="74" t="s">
        <v>40</v>
      </c>
      <c r="E24" s="74" t="s">
        <v>187</v>
      </c>
      <c r="F24" s="74" t="s">
        <v>162</v>
      </c>
      <c r="G24" s="74" t="s">
        <v>188</v>
      </c>
      <c r="H24" s="74" t="s">
        <v>74</v>
      </c>
      <c r="I24" s="74"/>
      <c r="J24" s="74"/>
      <c r="K24" s="74"/>
      <c r="L24" s="74"/>
    </row>
    <row r="25" spans="1:12" ht="15" customHeight="1" thickBot="1" x14ac:dyDescent="0.25">
      <c r="A25" s="73" t="s">
        <v>145</v>
      </c>
      <c r="B25" s="73" t="s">
        <v>190</v>
      </c>
      <c r="C25" s="73" t="s">
        <v>191</v>
      </c>
      <c r="D25" s="74" t="s">
        <v>40</v>
      </c>
      <c r="E25" s="74" t="s">
        <v>40</v>
      </c>
      <c r="F25" s="74" t="s">
        <v>162</v>
      </c>
      <c r="G25" s="74" t="s">
        <v>192</v>
      </c>
      <c r="H25" s="74" t="s">
        <v>101</v>
      </c>
      <c r="I25" s="74"/>
      <c r="J25" s="74"/>
      <c r="K25" s="74"/>
      <c r="L25" s="74"/>
    </row>
    <row r="26" spans="1:12" ht="27" customHeight="1" thickBot="1" x14ac:dyDescent="0.25">
      <c r="A26" s="73" t="s">
        <v>149</v>
      </c>
      <c r="B26" s="73" t="s">
        <v>194</v>
      </c>
      <c r="C26" s="73" t="s">
        <v>195</v>
      </c>
      <c r="D26" s="74" t="s">
        <v>40</v>
      </c>
      <c r="E26" s="74" t="s">
        <v>40</v>
      </c>
      <c r="F26" s="74" t="s">
        <v>162</v>
      </c>
      <c r="G26" s="74" t="s">
        <v>196</v>
      </c>
      <c r="H26" s="74" t="s">
        <v>149</v>
      </c>
      <c r="I26" s="74"/>
      <c r="J26" s="74"/>
      <c r="K26" s="74"/>
      <c r="L26" s="74"/>
    </row>
    <row r="27" spans="1:12" ht="15" customHeight="1" thickBot="1" x14ac:dyDescent="0.25">
      <c r="A27" s="73" t="s">
        <v>155</v>
      </c>
      <c r="B27" s="73" t="s">
        <v>198</v>
      </c>
      <c r="C27" s="73" t="s">
        <v>199</v>
      </c>
      <c r="D27" s="74" t="s">
        <v>40</v>
      </c>
      <c r="E27" s="74" t="s">
        <v>40</v>
      </c>
      <c r="F27" s="74" t="s">
        <v>162</v>
      </c>
      <c r="G27" s="74" t="s">
        <v>200</v>
      </c>
      <c r="H27" s="74" t="s">
        <v>193</v>
      </c>
      <c r="I27" s="74"/>
      <c r="J27" s="74"/>
      <c r="K27" s="74"/>
      <c r="L27" s="74"/>
    </row>
    <row r="28" spans="1:12" ht="15" customHeight="1" thickBot="1" x14ac:dyDescent="0.25">
      <c r="A28" s="73" t="s">
        <v>159</v>
      </c>
      <c r="B28" s="73" t="s">
        <v>206</v>
      </c>
      <c r="C28" s="73" t="s">
        <v>207</v>
      </c>
      <c r="D28" s="74" t="s">
        <v>40</v>
      </c>
      <c r="E28" s="74" t="s">
        <v>40</v>
      </c>
      <c r="F28" s="74" t="s">
        <v>162</v>
      </c>
      <c r="G28" s="74" t="s">
        <v>208</v>
      </c>
      <c r="H28" s="74" t="s">
        <v>37</v>
      </c>
      <c r="I28" s="74"/>
      <c r="J28" s="74"/>
      <c r="K28" s="74"/>
      <c r="L28" s="74"/>
    </row>
    <row r="29" spans="1:12" ht="15" customHeight="1" x14ac:dyDescent="0.2">
      <c r="A29" s="75" t="s">
        <v>165</v>
      </c>
      <c r="B29" s="75" t="s">
        <v>209</v>
      </c>
      <c r="C29" s="75" t="s">
        <v>210</v>
      </c>
      <c r="D29" s="76" t="s">
        <v>40</v>
      </c>
      <c r="E29" s="76" t="s">
        <v>40</v>
      </c>
      <c r="F29" s="76" t="s">
        <v>162</v>
      </c>
      <c r="G29" s="76" t="s">
        <v>192</v>
      </c>
      <c r="H29" s="76" t="s">
        <v>101</v>
      </c>
      <c r="I29" s="76"/>
      <c r="J29" s="76"/>
      <c r="K29" s="76"/>
      <c r="L29" s="76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/>
  <headerFooter>
    <oddHeader xml:space="preserve">&amp;L&amp;"ABB Logo,Plain"&amp;42ABB&amp;20
&amp;"Arial,Regular"&amp;11ABB Suiza SA&amp;C&amp;14Bill of Material&amp;R&amp;14
</oddHeader>
    <oddFooter>&amp;L&amp;11Prepared / M.G. PRESTA
Approved / F. DEL CARLO&amp;R&amp;11&amp;F
Date: &amp;D &amp; =IF(0 &lt;&gt;""; Rev. ind.: 0; "")
Sheet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185</vt:i4>
      </vt:variant>
    </vt:vector>
  </HeadingPairs>
  <TitlesOfParts>
    <vt:vector size="198" baseType="lpstr">
      <vt:lpstr>CaratulaABB</vt:lpstr>
      <vt:lpstr>Total</vt:lpstr>
      <vt:lpstr>Q150003-10101</vt:lpstr>
      <vt:lpstr>Q150003-10201</vt:lpstr>
      <vt:lpstr>Q150003-10301</vt:lpstr>
      <vt:lpstr>Q150003-10401</vt:lpstr>
      <vt:lpstr>Q150003-10501</vt:lpstr>
      <vt:lpstr>Q150003-10601</vt:lpstr>
      <vt:lpstr>Q150003-10901</vt:lpstr>
      <vt:lpstr>Q150003-11001</vt:lpstr>
      <vt:lpstr>Q150003-11101</vt:lpstr>
      <vt:lpstr>Q150003-11201</vt:lpstr>
      <vt:lpstr>Q150003-11301</vt:lpstr>
      <vt:lpstr>'Q150003-10101'!BoMListComponentName</vt:lpstr>
      <vt:lpstr>'Q150003-10201'!BoMListComponentName</vt:lpstr>
      <vt:lpstr>'Q150003-10301'!BoMListComponentName</vt:lpstr>
      <vt:lpstr>'Q150003-10401'!BoMListComponentName</vt:lpstr>
      <vt:lpstr>'Q150003-10501'!BoMListComponentName</vt:lpstr>
      <vt:lpstr>'Q150003-10601'!BoMListComponentName</vt:lpstr>
      <vt:lpstr>'Q150003-10901'!BoMListComponentName</vt:lpstr>
      <vt:lpstr>'Q150003-11001'!BoMListComponentName</vt:lpstr>
      <vt:lpstr>'Q150003-11101'!BoMListComponentName</vt:lpstr>
      <vt:lpstr>'Q150003-11201'!BoMListComponentName</vt:lpstr>
      <vt:lpstr>'Q150003-11301'!BoMListComponentName</vt:lpstr>
      <vt:lpstr>BoMListComponentName</vt:lpstr>
      <vt:lpstr>'Q150003-10101'!BoMListDescription</vt:lpstr>
      <vt:lpstr>'Q150003-10201'!BoMListDescription</vt:lpstr>
      <vt:lpstr>'Q150003-10301'!BoMListDescription</vt:lpstr>
      <vt:lpstr>'Q150003-10401'!BoMListDescription</vt:lpstr>
      <vt:lpstr>'Q150003-10501'!BoMListDescription</vt:lpstr>
      <vt:lpstr>'Q150003-10601'!BoMListDescription</vt:lpstr>
      <vt:lpstr>'Q150003-10901'!BoMListDescription</vt:lpstr>
      <vt:lpstr>'Q150003-11001'!BoMListDescription</vt:lpstr>
      <vt:lpstr>'Q150003-11101'!BoMListDescription</vt:lpstr>
      <vt:lpstr>'Q150003-11201'!BoMListDescription</vt:lpstr>
      <vt:lpstr>'Q150003-11301'!BoMListDescription</vt:lpstr>
      <vt:lpstr>BoMListDescription</vt:lpstr>
      <vt:lpstr>'Q150003-10101'!BoMListDevice</vt:lpstr>
      <vt:lpstr>'Q150003-10201'!BoMListDevice</vt:lpstr>
      <vt:lpstr>'Q150003-10301'!BoMListDevice</vt:lpstr>
      <vt:lpstr>'Q150003-10401'!BoMListDevice</vt:lpstr>
      <vt:lpstr>'Q150003-10501'!BoMListDevice</vt:lpstr>
      <vt:lpstr>'Q150003-10601'!BoMListDevice</vt:lpstr>
      <vt:lpstr>'Q150003-10901'!BoMListDevice</vt:lpstr>
      <vt:lpstr>'Q150003-11001'!BoMListDevice</vt:lpstr>
      <vt:lpstr>'Q150003-11101'!BoMListDevice</vt:lpstr>
      <vt:lpstr>'Q150003-11201'!BoMListDevice</vt:lpstr>
      <vt:lpstr>'Q150003-11301'!BoMListDevice</vt:lpstr>
      <vt:lpstr>BoMListDevice</vt:lpstr>
      <vt:lpstr>'Q150003-10101'!BoMListManufacturer</vt:lpstr>
      <vt:lpstr>'Q150003-10201'!BoMListManufacturer</vt:lpstr>
      <vt:lpstr>'Q150003-10301'!BoMListManufacturer</vt:lpstr>
      <vt:lpstr>'Q150003-10401'!BoMListManufacturer</vt:lpstr>
      <vt:lpstr>'Q150003-10501'!BoMListManufacturer</vt:lpstr>
      <vt:lpstr>'Q150003-10601'!BoMListManufacturer</vt:lpstr>
      <vt:lpstr>'Q150003-10901'!BoMListManufacturer</vt:lpstr>
      <vt:lpstr>'Q150003-11001'!BoMListManufacturer</vt:lpstr>
      <vt:lpstr>'Q150003-11101'!BoMListManufacturer</vt:lpstr>
      <vt:lpstr>'Q150003-11201'!BoMListManufacturer</vt:lpstr>
      <vt:lpstr>'Q150003-11301'!BoMListManufacturer</vt:lpstr>
      <vt:lpstr>BoMListManufacturer</vt:lpstr>
      <vt:lpstr>'Q150003-10101'!BoMListManufacturerNumber</vt:lpstr>
      <vt:lpstr>'Q150003-10201'!BoMListManufacturerNumber</vt:lpstr>
      <vt:lpstr>'Q150003-10301'!BoMListManufacturerNumber</vt:lpstr>
      <vt:lpstr>'Q150003-10401'!BoMListManufacturerNumber</vt:lpstr>
      <vt:lpstr>'Q150003-10501'!BoMListManufacturerNumber</vt:lpstr>
      <vt:lpstr>'Q150003-10601'!BoMListManufacturerNumber</vt:lpstr>
      <vt:lpstr>'Q150003-10901'!BoMListManufacturerNumber</vt:lpstr>
      <vt:lpstr>'Q150003-11001'!BoMListManufacturerNumber</vt:lpstr>
      <vt:lpstr>'Q150003-11101'!BoMListManufacturerNumber</vt:lpstr>
      <vt:lpstr>'Q150003-11201'!BoMListManufacturerNumber</vt:lpstr>
      <vt:lpstr>'Q150003-11301'!BoMListManufacturerNumber</vt:lpstr>
      <vt:lpstr>BoMListManufacturerNumber</vt:lpstr>
      <vt:lpstr>'Q150003-10101'!BoMListQuantity</vt:lpstr>
      <vt:lpstr>'Q150003-10201'!BoMListQuantity</vt:lpstr>
      <vt:lpstr>'Q150003-10301'!BoMListQuantity</vt:lpstr>
      <vt:lpstr>'Q150003-10401'!BoMListQuantity</vt:lpstr>
      <vt:lpstr>'Q150003-10501'!BoMListQuantity</vt:lpstr>
      <vt:lpstr>'Q150003-10601'!BoMListQuantity</vt:lpstr>
      <vt:lpstr>'Q150003-10901'!BoMListQuantity</vt:lpstr>
      <vt:lpstr>'Q150003-11001'!BoMListQuantity</vt:lpstr>
      <vt:lpstr>'Q150003-11101'!BoMListQuantity</vt:lpstr>
      <vt:lpstr>'Q150003-11201'!BoMListQuantity</vt:lpstr>
      <vt:lpstr>'Q150003-11301'!BoMListQuantity</vt:lpstr>
      <vt:lpstr>BoMListQuantity</vt:lpstr>
      <vt:lpstr>'Q150003-10101'!BoMListRemark</vt:lpstr>
      <vt:lpstr>'Q150003-10201'!BoMListRemark</vt:lpstr>
      <vt:lpstr>'Q150003-10301'!BoMListRemark</vt:lpstr>
      <vt:lpstr>'Q150003-10401'!BoMListRemark</vt:lpstr>
      <vt:lpstr>'Q150003-10501'!BoMListRemark</vt:lpstr>
      <vt:lpstr>'Q150003-10601'!BoMListRemark</vt:lpstr>
      <vt:lpstr>'Q150003-10901'!BoMListRemark</vt:lpstr>
      <vt:lpstr>'Q150003-11001'!BoMListRemark</vt:lpstr>
      <vt:lpstr>'Q150003-11101'!BoMListRemark</vt:lpstr>
      <vt:lpstr>'Q150003-11201'!BoMListRemark</vt:lpstr>
      <vt:lpstr>'Q150003-11301'!BoMListRemark</vt:lpstr>
      <vt:lpstr>BoMListRemark</vt:lpstr>
      <vt:lpstr>'Q150003-10101'!BoMListSAPNumber</vt:lpstr>
      <vt:lpstr>'Q150003-10201'!BoMListSAPNumber</vt:lpstr>
      <vt:lpstr>'Q150003-10301'!BoMListSAPNumber</vt:lpstr>
      <vt:lpstr>'Q150003-10401'!BoMListSAPNumber</vt:lpstr>
      <vt:lpstr>'Q150003-10501'!BoMListSAPNumber</vt:lpstr>
      <vt:lpstr>'Q150003-10601'!BoMListSAPNumber</vt:lpstr>
      <vt:lpstr>'Q150003-10901'!BoMListSAPNumber</vt:lpstr>
      <vt:lpstr>'Q150003-11001'!BoMListSAPNumber</vt:lpstr>
      <vt:lpstr>'Q150003-11101'!BoMListSAPNumber</vt:lpstr>
      <vt:lpstr>'Q150003-11201'!BoMListSAPNumber</vt:lpstr>
      <vt:lpstr>'Q150003-11301'!BoMListSAPNumber</vt:lpstr>
      <vt:lpstr>'Q150003-10101'!BoMListTechnicalData</vt:lpstr>
      <vt:lpstr>'Q150003-10201'!BoMListTechnicalData</vt:lpstr>
      <vt:lpstr>'Q150003-10301'!BoMListTechnicalData</vt:lpstr>
      <vt:lpstr>'Q150003-10401'!BoMListTechnicalData</vt:lpstr>
      <vt:lpstr>'Q150003-10501'!BoMListTechnicalData</vt:lpstr>
      <vt:lpstr>'Q150003-10601'!BoMListTechnicalData</vt:lpstr>
      <vt:lpstr>'Q150003-10901'!BoMListTechnicalData</vt:lpstr>
      <vt:lpstr>'Q150003-11001'!BoMListTechnicalData</vt:lpstr>
      <vt:lpstr>'Q150003-11101'!BoMListTechnicalData</vt:lpstr>
      <vt:lpstr>'Q150003-11201'!BoMListTechnicalData</vt:lpstr>
      <vt:lpstr>'Q150003-11301'!BoMListTechnicalData</vt:lpstr>
      <vt:lpstr>BoMListTechnicalData</vt:lpstr>
      <vt:lpstr>'Q150003-10101'!BoMListTypeDesignation</vt:lpstr>
      <vt:lpstr>'Q150003-10201'!BoMListTypeDesignation</vt:lpstr>
      <vt:lpstr>'Q150003-10301'!BoMListTypeDesignation</vt:lpstr>
      <vt:lpstr>'Q150003-10401'!BoMListTypeDesignation</vt:lpstr>
      <vt:lpstr>'Q150003-10501'!BoMListTypeDesignation</vt:lpstr>
      <vt:lpstr>'Q150003-10601'!BoMListTypeDesignation</vt:lpstr>
      <vt:lpstr>'Q150003-10901'!BoMListTypeDesignation</vt:lpstr>
      <vt:lpstr>'Q150003-11001'!BoMListTypeDesignation</vt:lpstr>
      <vt:lpstr>'Q150003-11101'!BoMListTypeDesignation</vt:lpstr>
      <vt:lpstr>'Q150003-11201'!BoMListTypeDesignation</vt:lpstr>
      <vt:lpstr>'Q150003-11301'!BoMListTypeDesignation</vt:lpstr>
      <vt:lpstr>BoMListTypeDesignation</vt:lpstr>
      <vt:lpstr>'Q150003-10101'!FirstDataColumnBillOfMaterial</vt:lpstr>
      <vt:lpstr>'Q150003-10201'!FirstDataColumnBillOfMaterial</vt:lpstr>
      <vt:lpstr>'Q150003-10301'!FirstDataColumnBillOfMaterial</vt:lpstr>
      <vt:lpstr>'Q150003-10401'!FirstDataColumnBillOfMaterial</vt:lpstr>
      <vt:lpstr>'Q150003-10501'!FirstDataColumnBillOfMaterial</vt:lpstr>
      <vt:lpstr>'Q150003-10601'!FirstDataColumnBillOfMaterial</vt:lpstr>
      <vt:lpstr>'Q150003-10901'!FirstDataColumnBillOfMaterial</vt:lpstr>
      <vt:lpstr>'Q150003-11001'!FirstDataColumnBillOfMaterial</vt:lpstr>
      <vt:lpstr>'Q150003-11101'!FirstDataColumnBillOfMaterial</vt:lpstr>
      <vt:lpstr>'Q150003-11201'!FirstDataColumnBillOfMaterial</vt:lpstr>
      <vt:lpstr>'Q150003-11301'!FirstDataColumnBillOfMaterial</vt:lpstr>
      <vt:lpstr>FirstDataColumnBillOfMaterial</vt:lpstr>
      <vt:lpstr>'Q150003-10101'!FirstDataRowBillOfMaterial</vt:lpstr>
      <vt:lpstr>'Q150003-10201'!FirstDataRowBillOfMaterial</vt:lpstr>
      <vt:lpstr>'Q150003-10301'!FirstDataRowBillOfMaterial</vt:lpstr>
      <vt:lpstr>'Q150003-10401'!FirstDataRowBillOfMaterial</vt:lpstr>
      <vt:lpstr>'Q150003-10501'!FirstDataRowBillOfMaterial</vt:lpstr>
      <vt:lpstr>'Q150003-10601'!FirstDataRowBillOfMaterial</vt:lpstr>
      <vt:lpstr>'Q150003-10901'!FirstDataRowBillOfMaterial</vt:lpstr>
      <vt:lpstr>'Q150003-11001'!FirstDataRowBillOfMaterial</vt:lpstr>
      <vt:lpstr>'Q150003-11101'!FirstDataRowBillOfMaterial</vt:lpstr>
      <vt:lpstr>'Q150003-11201'!FirstDataRowBillOfMaterial</vt:lpstr>
      <vt:lpstr>'Q150003-11301'!FirstDataRowBillOfMaterial</vt:lpstr>
      <vt:lpstr>FirstDataRowBillOfMaterial</vt:lpstr>
      <vt:lpstr>MAKE_EJEC</vt:lpstr>
      <vt:lpstr>MAKE_FECHA</vt:lpstr>
      <vt:lpstr>MAKE_PROY</vt:lpstr>
      <vt:lpstr>MAKE_REV</vt:lpstr>
      <vt:lpstr>MAKE_REVISO</vt:lpstr>
      <vt:lpstr>MAKE_VERIFICO</vt:lpstr>
      <vt:lpstr>'Q150003-10101'!PageHeight</vt:lpstr>
      <vt:lpstr>'Q150003-10201'!PageHeight</vt:lpstr>
      <vt:lpstr>'Q150003-10301'!PageHeight</vt:lpstr>
      <vt:lpstr>'Q150003-10401'!PageHeight</vt:lpstr>
      <vt:lpstr>'Q150003-10501'!PageHeight</vt:lpstr>
      <vt:lpstr>'Q150003-10601'!PageHeight</vt:lpstr>
      <vt:lpstr>'Q150003-10901'!PageHeight</vt:lpstr>
      <vt:lpstr>'Q150003-11001'!PageHeight</vt:lpstr>
      <vt:lpstr>'Q150003-11101'!PageHeight</vt:lpstr>
      <vt:lpstr>'Q150003-11201'!PageHeight</vt:lpstr>
      <vt:lpstr>'Q150003-11301'!PageHeight</vt:lpstr>
      <vt:lpstr>CaratulaABB!Print_Area</vt:lpstr>
      <vt:lpstr>'Q150003-10101'!Print_Area</vt:lpstr>
      <vt:lpstr>'Q150003-10201'!Print_Area</vt:lpstr>
      <vt:lpstr>'Q150003-10301'!Print_Area</vt:lpstr>
      <vt:lpstr>'Q150003-10401'!Print_Area</vt:lpstr>
      <vt:lpstr>'Q150003-10501'!Print_Area</vt:lpstr>
      <vt:lpstr>'Q150003-10601'!Print_Area</vt:lpstr>
      <vt:lpstr>'Q150003-10901'!Print_Area</vt:lpstr>
      <vt:lpstr>'Q150003-11001'!Print_Area</vt:lpstr>
      <vt:lpstr>'Q150003-11101'!Print_Area</vt:lpstr>
      <vt:lpstr>'Q150003-11201'!Print_Area</vt:lpstr>
      <vt:lpstr>'Q150003-11301'!Print_Area</vt:lpstr>
      <vt:lpstr>Total!Print_Area</vt:lpstr>
      <vt:lpstr>'Q150003-10101'!Print_Titles</vt:lpstr>
      <vt:lpstr>'Q150003-10201'!Print_Titles</vt:lpstr>
      <vt:lpstr>'Q150003-10301'!Print_Titles</vt:lpstr>
      <vt:lpstr>'Q150003-10401'!Print_Titles</vt:lpstr>
      <vt:lpstr>'Q150003-10501'!Print_Titles</vt:lpstr>
      <vt:lpstr>'Q150003-10601'!Print_Titles</vt:lpstr>
      <vt:lpstr>'Q150003-10901'!Print_Titles</vt:lpstr>
      <vt:lpstr>'Q150003-11001'!Print_Titles</vt:lpstr>
      <vt:lpstr>'Q150003-11101'!Print_Titles</vt:lpstr>
      <vt:lpstr>'Q150003-11201'!Print_Titles</vt:lpstr>
      <vt:lpstr>'Q150003-11301'!Print_Titles</vt:lpstr>
      <vt:lpstr>Total!Print_Titles</vt:lpstr>
    </vt:vector>
  </TitlesOfParts>
  <Company>ABB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Cable List</dc:title>
  <dc:subject>Project name</dc:subject>
  <dc:creator>chpekre</dc:creator>
  <dc:description>Comments</dc:description>
  <cp:lastModifiedBy>Juan J. Haim</cp:lastModifiedBy>
  <cp:lastPrinted>2016-05-19T19:48:53Z</cp:lastPrinted>
  <dcterms:created xsi:type="dcterms:W3CDTF">2016-05-10T17:32:14Z</dcterms:created>
  <dcterms:modified xsi:type="dcterms:W3CDTF">2016-05-27T14:44:59Z</dcterms:modified>
</cp:coreProperties>
</file>